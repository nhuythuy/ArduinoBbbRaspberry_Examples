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saveExternalLinkValues="0" codeName="ThisWorkbook"/>
  <mc:AlternateContent xmlns:mc="http://schemas.openxmlformats.org/markup-compatibility/2006">
    <mc:Choice Requires="x15">
      <x15ac:absPath xmlns:x15ac="http://schemas.microsoft.com/office/spreadsheetml/2010/11/ac" url="C:\CyberSea\dev\io\io-tools\Arduino\encoder_sim_mbTCP_DUE\"/>
    </mc:Choice>
  </mc:AlternateContent>
  <bookViews>
    <workbookView xWindow="0" yWindow="2445" windowWidth="21360" windowHeight="9285" tabRatio="673" activeTab="1"/>
  </bookViews>
  <sheets>
    <sheet name="Simulator mappings" sheetId="55" r:id="rId1"/>
    <sheet name="Other mappings" sheetId="51" r:id="rId2"/>
    <sheet name="Vendor signal list" sheetId="28" r:id="rId3"/>
    <sheet name="WAGO racks" sheetId="58" state="hidden" r:id="rId4"/>
    <sheet name="WAGO modules" sheetId="59" state="hidden" r:id="rId5"/>
    <sheet name="Driver config" sheetId="48" r:id="rId6"/>
    <sheet name="Driver template" sheetId="56" r:id="rId7"/>
    <sheet name="Exported data" sheetId="52" state="hidden" r:id="rId8"/>
    <sheet name="DriverColumnSetup" sheetId="57" state="hidden" r:id="rId9"/>
    <sheet name="ProgramStorage" sheetId="54" state="hidden" r:id="rId10"/>
    <sheet name="KMOS" sheetId="60" state="hidden" r:id="rId11"/>
    <sheet name="PDM location setup" sheetId="61" state="hidden" r:id="rId12"/>
    <sheet name="PDM pipe setup" sheetId="62" state="hidden" r:id="rId13"/>
    <sheet name="PDM fingerboard setup" sheetId="63" state="hidden" r:id="rId14"/>
  </sheets>
  <definedNames>
    <definedName name="_ch0_input" localSheetId="9">ProgramStorage!$B$1:$B$4</definedName>
    <definedName name="_ch0_unknown" localSheetId="9">ProgramStorage!$B$1:$B$4</definedName>
    <definedName name="_ch1_input" localSheetId="9">ProgramStorage!$B$5:$B$8</definedName>
    <definedName name="_ch1_unknown" localSheetId="9">ProgramStorage!$B$5:$B$8</definedName>
    <definedName name="_ch2_input" localSheetId="9">ProgramStorage!$B$9:$B$12</definedName>
    <definedName name="_ch2_unknown" localSheetId="9">ProgramStorage!$B$9:$B$12</definedName>
    <definedName name="_ch3_input" localSheetId="9">ProgramStorage!$B$13</definedName>
    <definedName name="_ch3_unknown" localSheetId="9">ProgramStorage!$B$13</definedName>
    <definedName name="_ch4_input" localSheetId="9">ProgramStorage!$B$14</definedName>
    <definedName name="_ch4_unknown" localSheetId="9">ProgramStorage!$B$14</definedName>
    <definedName name="_ch5_input" localSheetId="9">ProgramStorage!$B$15</definedName>
    <definedName name="_ch5_unknown" localSheetId="9">ProgramStorage!$B$15</definedName>
    <definedName name="_ch6_input" localSheetId="9">ProgramStorage!$B$16</definedName>
    <definedName name="_ch6_unknown" localSheetId="9">ProgramStorage!$B$16</definedName>
    <definedName name="_chAll_input" localSheetId="9">ProgramStorage!$B$17:$B$35</definedName>
    <definedName name="_chAll_unknown" localSheetId="9">ProgramStorage!$B$17:$B$35</definedName>
    <definedName name="_xlnm._FilterDatabase" localSheetId="1" hidden="1">'Other mappings'!#REF!</definedName>
    <definedName name="_xlnm._FilterDatabase" localSheetId="13" hidden="1">'PDM fingerboard setup'!$N$2:$U$2</definedName>
    <definedName name="_xlnm._FilterDatabase" localSheetId="2" hidden="1">'Vendor signal list'!#REF!</definedName>
    <definedName name="_Module0" localSheetId="1">'Other mappings'!$A$13:$P$17</definedName>
    <definedName name="_Module1" localSheetId="1">'Other mappings'!$A$3:$P$7</definedName>
    <definedName name="_Module2" localSheetId="1">'Other mappings'!$A$8:$P$12</definedName>
    <definedName name="_ModuleSettings" localSheetId="1">'Other mappings'!$A$18:$P$38</definedName>
    <definedName name="Actual_Modbus_address" localSheetId="3">'WAGO racks'!$X$1</definedName>
    <definedName name="actualSavedStatus" localSheetId="9">ProgramStorage!$L$1</definedName>
    <definedName name="AI_2_750_467" localSheetId="4">'WAGO modules'!$A$54:$X$55</definedName>
    <definedName name="AI_4_750_455" localSheetId="4">'WAGO modules'!$A$50:$X$53</definedName>
    <definedName name="AI_4_750_457" localSheetId="4">'WAGO modules'!$A$60:$X$63</definedName>
    <definedName name="AO_4_750_553" localSheetId="4">'WAGO modules'!$A$108:$X$111</definedName>
    <definedName name="AO_4_750_555" localSheetId="4">'WAGO modules'!$A$112:$X$115</definedName>
    <definedName name="AO_4_750_557" localSheetId="4">'WAGO modules'!$A$116:$X$119</definedName>
    <definedName name="AO_4_750_559" localSheetId="4">'WAGO modules'!$A$120:$X$123</definedName>
    <definedName name="Area0_address" localSheetId="3">'WAGO racks'!$T$1</definedName>
    <definedName name="Area1_address" localSheetId="3">'WAGO racks'!$U$1</definedName>
    <definedName name="Area3_address" localSheetId="3">'WAGO racks'!$V$1</definedName>
    <definedName name="Area4_address" localSheetId="3">'WAGO racks'!$W$1</definedName>
    <definedName name="ASCII" localSheetId="6">'Driver template'!$A$76:$R$83</definedName>
    <definedName name="ASCII" localSheetId="8">DriverColumnSetup!$B$29:$E$29</definedName>
    <definedName name="CANbus" localSheetId="6">'Driver template'!$A$54:$J$61</definedName>
    <definedName name="CANbus" localSheetId="8">DriverColumnSetup!$B$8:$F$8</definedName>
    <definedName name="cbEnDupMon" localSheetId="9">ProgramStorage!$J$1</definedName>
    <definedName name="cbEnMapFunc" localSheetId="9">ProgramStorage!$K$1</definedName>
    <definedName name="Channel_tag" localSheetId="3">'WAGO racks'!$C$1</definedName>
    <definedName name="DataStorage" localSheetId="9">ProgramStorage!$A$1:$C$35</definedName>
    <definedName name="DI_16_750_1400" localSheetId="4">'WAGO modules'!$A$26:$X$41</definedName>
    <definedName name="DI_4_750_432" localSheetId="4">'WAGO modules'!$A$6:$X$9</definedName>
    <definedName name="DI_8_750_430" localSheetId="4">'WAGO modules'!$A$18:$X$25</definedName>
    <definedName name="Direction" localSheetId="2">'Vendor signal list'!$I$2</definedName>
    <definedName name="DO_16_750_150" localSheetId="4">'WAGO modules'!$A$88:$X$103</definedName>
    <definedName name="DO_2_750_513" localSheetId="4">'WAGO modules'!$A$72:$X$73</definedName>
    <definedName name="DO_2_750_517" localSheetId="4">'WAGO modules'!$A$74:$X$75</definedName>
    <definedName name="DO_8_750_530" localSheetId="4">'WAGO modules'!$A$80:$X$87</definedName>
    <definedName name="DriverName" localSheetId="2">'Vendor signal list'!$B$2:$G$2</definedName>
    <definedName name="driverNameSavedRange" localSheetId="9">ProgramStorage!$G$1</definedName>
    <definedName name="Ethernet_coupler_750_341" localSheetId="4">'WAGO modules'!$A$5:$X$5</definedName>
    <definedName name="ExportVendorDesc" localSheetId="9">ProgramStorage!$N$3</definedName>
    <definedName name="FingerboardCenterX" localSheetId="13">'PDM fingerboard setup'!$C$2</definedName>
    <definedName name="FingerboardCenterY" localSheetId="13">'PDM fingerboard setup'!$D$2</definedName>
    <definedName name="FingerboardCenterZ" localSheetId="13">'PDM fingerboard setup'!$E$2</definedName>
    <definedName name="FingerboardExtensionX" localSheetId="13">'PDM fingerboard setup'!$F$2</definedName>
    <definedName name="FingerboardExtensionY" localSheetId="13">'PDM fingerboard setup'!$G$2</definedName>
    <definedName name="FingerboardHeight" localSheetId="13">'PDM fingerboard setup'!$H$2</definedName>
    <definedName name="FingerboardIndex" localSheetId="13">'PDM fingerboard setup'!$A$2</definedName>
    <definedName name="FingerboardMaxLocationsInRow" localSheetId="13">'PDM fingerboard setup'!$L$2</definedName>
    <definedName name="FingerboardNumberOfRows" localSheetId="13">'PDM fingerboard setup'!$K$2</definedName>
    <definedName name="FingerboardRadius" localSheetId="13">'PDM fingerboard setup'!$I$2</definedName>
    <definedName name="FingerboardRotation" localSheetId="13">'PDM fingerboard setup'!$J$2</definedName>
    <definedName name="FingerboardRowIndex" localSheetId="13">'PDM fingerboard setup'!$N$2</definedName>
    <definedName name="FingerboardRowLocationsWithStands" localSheetId="13">'PDM fingerboard setup'!$U$2</definedName>
    <definedName name="FingerboardRowNumberOfLocations" localSheetId="13">'PDM fingerboard setup'!$R$2</definedName>
    <definedName name="FingerboardRowNumberOfPipesInStand" localSheetId="13">'PDM fingerboard setup'!$T$2</definedName>
    <definedName name="FingerboardRowOffsetX" localSheetId="13">'PDM fingerboard setup'!$O$2</definedName>
    <definedName name="FingerboardRowOffsetY" localSheetId="13">'PDM fingerboard setup'!$P$2</definedName>
    <definedName name="FingerboardRowPipeIndex" localSheetId="13">'PDM fingerboard setup'!$S$2</definedName>
    <definedName name="FingerboardRows" localSheetId="13">'PDM fingerboard setup'!$N:$U,'PDM fingerboard setup'!$N$1,'PDM fingerboard setup'!$N$1,'PDM fingerboard setup'!$N$1,'PDM fingerboard setup'!$N$1,'PDM fingerboard setup'!$P$2,'PDM fingerboard setup'!$P$2,'PDM fingerboard setup'!$N$1</definedName>
    <definedName name="FingerboardRowSpacing" localSheetId="13">'PDM fingerboard setup'!$Q$2</definedName>
    <definedName name="Fingerboards" localSheetId="13">'PDM fingerboard setup'!$A:$L,'PDM fingerboard setup'!$A$1</definedName>
    <definedName name="FingerboardType" localSheetId="13">'PDM fingerboard setup'!$B$2</definedName>
    <definedName name="FirstRun" localSheetId="9">ProgramStorage!$H$1</definedName>
    <definedName name="HIL_Tag" localSheetId="3">'WAGO racks'!$E$1</definedName>
    <definedName name="idSavedRange" localSheetId="9">ProgramStorage!$P$1:$Q$8</definedName>
    <definedName name="IncludeColumn" localSheetId="8">DriverColumnSetup!$P$1</definedName>
    <definedName name="InitialLocation1" localSheetId="12">'PDM pipe setup'!$P$2</definedName>
    <definedName name="InitialLocation2" localSheetId="12">'PDM pipe setup'!$R$2</definedName>
    <definedName name="InitialLocation3" localSheetId="12">'PDM pipe setup'!$T$2</definedName>
    <definedName name="InitialNumberOfPipesInStand" localSheetId="12">'PDM pipe setup'!$O$2</definedName>
    <definedName name="InitialPipeType" localSheetId="12">'PDM pipe setup'!$N$2</definedName>
    <definedName name="InitialPosition1" localSheetId="12">'PDM pipe setup'!$Q$2</definedName>
    <definedName name="InitialPosition2" localSheetId="12">'PDM pipe setup'!$S$2</definedName>
    <definedName name="InitialPosition3" localSheetId="12">'PDM pipe setup'!$U$2</definedName>
    <definedName name="InitialPositions" localSheetId="12">'PDM pipe setup'!$N:$U</definedName>
    <definedName name="InternalCom" localSheetId="6">'Driver template'!$A$42:$N$46</definedName>
    <definedName name="InternalCom" localSheetId="8">DriverColumnSetup!$B$11:$C$11</definedName>
    <definedName name="InternalComAuto" localSheetId="6">'Driver template'!$A$95:$N$96</definedName>
    <definedName name="KMOS" localSheetId="6">'Driver template'!$A$85:$M$88</definedName>
    <definedName name="KMOS" localSheetId="8">DriverColumnSetup!$B$32:$G$32</definedName>
    <definedName name="LocationDriverInstance" localSheetId="11">'PDM location setup'!$M$1</definedName>
    <definedName name="LocationExternalPosition" localSheetId="11">'PDM location setup'!$H$1</definedName>
    <definedName name="LocationExternalVector" localSheetId="11">'PDM location setup'!$L$1</definedName>
    <definedName name="LocationIndex" localSheetId="11">'PDM location setup'!$A$1</definedName>
    <definedName name="LocationModule" localSheetId="11">'PDM location setup'!$N$1</definedName>
    <definedName name="LocationName" localSheetId="11">'PDM location setup'!$B$1</definedName>
    <definedName name="LocationPositionX" localSheetId="11">'PDM location setup'!$E$1</definedName>
    <definedName name="LocationPositionY" localSheetId="11">'PDM location setup'!$F$1</definedName>
    <definedName name="LocationPositionZ" localSheetId="11">'PDM location setup'!$G$1</definedName>
    <definedName name="Locations" localSheetId="11">'PDM location setup'!$A:$N</definedName>
    <definedName name="LocationShowIn3d" localSheetId="11">'PDM location setup'!$D$1</definedName>
    <definedName name="LocationType" localSheetId="11">'PDM location setup'!$C$1</definedName>
    <definedName name="LocationVectorX" localSheetId="11">'PDM location setup'!$I$1</definedName>
    <definedName name="LocationVectorY" localSheetId="11">'PDM location setup'!$J$1</definedName>
    <definedName name="LocationVectorZ" localSheetId="11">'PDM location setup'!$K$1</definedName>
    <definedName name="mbMasterInstance" localSheetId="6">'Driver template'!$A$16:$L$17</definedName>
    <definedName name="mbMasterNode" localSheetId="6">'Driver template'!$A$28:$M$29</definedName>
    <definedName name="MCTCPClient" localSheetId="6">'Driver template'!$A$66:$O$69</definedName>
    <definedName name="MCTCPClient" localSheetId="8">DriverColumnSetup!$B$23:$F$23</definedName>
    <definedName name="ModBus" localSheetId="6">'Driver template'!$A$1:$Q$34</definedName>
    <definedName name="ModBUS" localSheetId="8">DriverColumnSetup!$B$2:$G$2</definedName>
    <definedName name="ModBus" localSheetId="2">'Vendor signal list'!$A$4:$M$40</definedName>
    <definedName name="Modbus_area" localSheetId="3">'WAGO racks'!$S$1</definedName>
    <definedName name="Modbus_data_type" localSheetId="3">'WAGO racks'!$R$1</definedName>
    <definedName name="mustCheckAll" localSheetId="9">ProgramStorage!$M$1</definedName>
    <definedName name="NIDAQ" localSheetId="6">'Driver template'!$A$90:$H$93</definedName>
    <definedName name="NIDAQ" localSheetId="8">DriverColumnSetup!$B$35:$E$35</definedName>
    <definedName name="OPC" localSheetId="6">'Driver template'!$A$63:$M$64</definedName>
    <definedName name="OPC" localSheetId="8">DriverColumnSetup!$B$17:$D$17</definedName>
    <definedName name="PDM" localSheetId="6">'Driver template'!$A$98:$N$99</definedName>
    <definedName name="PDM" localSheetId="8">DriverColumnSetup!$B$38:$C$38</definedName>
    <definedName name="PipeBoxDiameter" localSheetId="12">'PDM pipe setup'!$G$2</definedName>
    <definedName name="PipeBoxHeight" localSheetId="12">'PDM pipe setup'!$D$2</definedName>
    <definedName name="PipeDiameter" localSheetId="12">'PDM pipe setup'!$F$2</definedName>
    <definedName name="PipeDiameterUnit" localSheetId="12">'PDM pipe setup'!$H$2</definedName>
    <definedName name="PipeLength" localSheetId="12">'PDM pipe setup'!$C$2</definedName>
    <definedName name="PipeLengthUnit" localSheetId="12">'PDM pipe setup'!$E$2</definedName>
    <definedName name="PipeMaxNumberOfRotations" localSheetId="12">'PDM pipe setup'!$L$2</definedName>
    <definedName name="PipeSpinningTorque" localSheetId="12">'PDM pipe setup'!$K$2</definedName>
    <definedName name="PipeType" localSheetId="12">'PDM pipe setup'!$B$2</definedName>
    <definedName name="PipeTypes" localSheetId="12">'PDM pipe setup'!$A:$L</definedName>
    <definedName name="PipeWeight" localSheetId="12">'PDM pipe setup'!$I$2</definedName>
    <definedName name="PipeWeightUnit" localSheetId="12">'PDM pipe setup'!$J$2</definedName>
    <definedName name="_xlnm.Print_Area" localSheetId="4">'WAGO modules'!$A$4:$N$123</definedName>
    <definedName name="Rack_ID" localSheetId="3">'WAGO racks'!$B$1</definedName>
    <definedName name="ShowSimTagDialog" localSheetId="9">ProgramStorage!$I$1</definedName>
    <definedName name="SimbaPro" localSheetId="6">'Driver template'!$A$39:$M$40</definedName>
    <definedName name="SimbaPro" localSheetId="8">DriverColumnSetup!$B$5:$E$5</definedName>
    <definedName name="SimulatorTagsSavedRange" localSheetId="9">ProgramStorage!$AL$1:$BD$31</definedName>
    <definedName name="templateVersion" localSheetId="9">ProgramStorage!$N$2</definedName>
    <definedName name="TestDriver" localSheetId="6">'Driver template'!$A$36:$H$37</definedName>
    <definedName name="TestDriver" localSheetId="8">DriverColumnSetup!$B$20:$C$20</definedName>
    <definedName name="Vendor_signal" localSheetId="3">'WAGO racks'!$F$1</definedName>
    <definedName name="VendorDescription" localSheetId="2">'Vendor signal list'!$L$2</definedName>
    <definedName name="VendorGroup" localSheetId="8">DriverColumnSetup!$M$1:$O$1</definedName>
    <definedName name="VendorGroup" localSheetId="2">'Vendor signal list'!$J$2</definedName>
    <definedName name="VendorGroupNames" localSheetId="9">ProgramStorage!$D$1:$D$8</definedName>
    <definedName name="VendorTag" localSheetId="2">'Vendor signal list'!$K$2</definedName>
    <definedName name="VendorTagsSavedRange" localSheetId="9">ProgramStorage!$S$1:$AK$35</definedName>
    <definedName name="WAGO" localSheetId="6">'Driver template'!$A$71:$M$74</definedName>
    <definedName name="WAGO" localSheetId="8">DriverColumnSetup!$B$26:$C$26</definedName>
    <definedName name="WAGO_Channel_ID" localSheetId="3">'WAGO racks'!#REF!</definedName>
    <definedName name="WAGO_master" localSheetId="3">'WAGO racks'!$G$1</definedName>
    <definedName name="WAGO_Module" localSheetId="3">'WAGO racks'!$I$1</definedName>
    <definedName name="WAGO_Module_Channel" localSheetId="3">'WAGO racks'!$J$1</definedName>
    <definedName name="WAGO_node" localSheetId="3">'WAGO racks'!$H$1</definedName>
    <definedName name="WAGO_Signal_type" localSheetId="3">'WAGO racks'!$D$1</definedName>
    <definedName name="WAGO_type" localSheetId="3">'WAGO racks'!$A$1</definedName>
    <definedName name="WagoModbusValueMax" localSheetId="3">'WAGO racks'!$N$1</definedName>
    <definedName name="WagoModbusValueMin" localSheetId="3">'WAGO racks'!$M$1</definedName>
    <definedName name="WagoPhysicalValueMax" localSheetId="3">'WAGO racks'!$P$1</definedName>
    <definedName name="WagoPhysicalValueMin" localSheetId="3">'WAGO racks'!$O$1</definedName>
    <definedName name="WaveGen" localSheetId="6">'Driver template'!$A$48:$I$52</definedName>
    <definedName name="WaveGen" localSheetId="8">DriverColumnSetup!$B$14:$D$14</definedName>
    <definedName name="workbookVersion" localSheetId="9">ProgramStorage!$N$1</definedName>
  </definedNames>
  <calcPr calcId="152511"/>
</workbook>
</file>

<file path=xl/calcChain.xml><?xml version="1.0" encoding="utf-8"?>
<calcChain xmlns="http://schemas.openxmlformats.org/spreadsheetml/2006/main">
  <c r="P8" i="54" l="1"/>
  <c r="P7" i="54"/>
  <c r="P6" i="54"/>
  <c r="P5" i="54"/>
  <c r="P4" i="54"/>
  <c r="P3" i="54"/>
  <c r="P2" i="54"/>
  <c r="P1" i="54"/>
  <c r="A19" i="51"/>
  <c r="A20" i="51"/>
  <c r="A21" i="51"/>
  <c r="A22" i="51"/>
  <c r="A23" i="51"/>
  <c r="A24" i="51"/>
  <c r="A25" i="51"/>
  <c r="A26" i="51"/>
  <c r="A27" i="51"/>
  <c r="A28" i="51"/>
  <c r="A29" i="51"/>
  <c r="A30" i="51"/>
  <c r="A31" i="51"/>
  <c r="A32" i="51"/>
  <c r="A33" i="51"/>
  <c r="A34" i="51"/>
  <c r="A35" i="51"/>
  <c r="A36" i="51"/>
  <c r="A37" i="51"/>
  <c r="A38" i="51"/>
  <c r="M18" i="28"/>
  <c r="M17" i="28"/>
  <c r="M9" i="28"/>
  <c r="M10" i="28"/>
  <c r="M11" i="28"/>
  <c r="M12" i="28"/>
  <c r="M13" i="28"/>
  <c r="M14" i="28"/>
  <c r="M15" i="28"/>
  <c r="M16" i="28"/>
  <c r="M19" i="28"/>
  <c r="P38" i="51"/>
  <c r="P29" i="51"/>
  <c r="P33" i="51"/>
  <c r="P36" i="51"/>
  <c r="P30" i="51"/>
  <c r="P34" i="51"/>
  <c r="P31" i="51"/>
  <c r="P35" i="51"/>
  <c r="P32" i="51"/>
  <c r="P37" i="51"/>
  <c r="L9" i="28"/>
  <c r="L13" i="28"/>
  <c r="L17" i="28"/>
  <c r="L10" i="28"/>
  <c r="L14" i="28"/>
  <c r="L18" i="28"/>
  <c r="L11" i="28"/>
  <c r="L15" i="28"/>
  <c r="L19" i="28"/>
  <c r="L12" i="28"/>
  <c r="L16" i="28"/>
  <c r="L5" i="28"/>
  <c r="L6" i="28"/>
  <c r="L7" i="28"/>
  <c r="L8" i="28"/>
  <c r="K9" i="28"/>
  <c r="K13" i="28"/>
  <c r="K17" i="28"/>
  <c r="K10" i="28"/>
  <c r="K14" i="28"/>
  <c r="K18" i="28"/>
  <c r="K11" i="28"/>
  <c r="K15" i="28"/>
  <c r="K19" i="28"/>
  <c r="K12" i="28"/>
  <c r="K16" i="28"/>
  <c r="J18" i="28"/>
  <c r="J19" i="28"/>
  <c r="J9" i="28"/>
  <c r="J13" i="28"/>
  <c r="J17" i="28"/>
  <c r="J15" i="28"/>
  <c r="J12" i="28"/>
  <c r="J10" i="28"/>
  <c r="J14" i="28"/>
  <c r="J11" i="28"/>
  <c r="J16" i="28"/>
  <c r="A22" i="28" l="1"/>
  <c r="A17" i="28"/>
  <c r="A16" i="28"/>
  <c r="A19" i="28"/>
  <c r="A15" i="28"/>
  <c r="A21" i="28"/>
  <c r="A18" i="28"/>
  <c r="A14" i="28"/>
  <c r="A23" i="28"/>
  <c r="B2" i="48"/>
  <c r="B4" i="48" s="1"/>
  <c r="M38" i="28"/>
  <c r="M39" i="28"/>
  <c r="M40" i="28"/>
  <c r="M37" i="28"/>
  <c r="M30" i="28"/>
  <c r="M31" i="28"/>
  <c r="M32" i="28"/>
  <c r="M33" i="28"/>
  <c r="M34" i="28"/>
  <c r="M35" i="28"/>
  <c r="M36" i="28"/>
  <c r="A14" i="51"/>
  <c r="A15" i="51"/>
  <c r="A16" i="51"/>
  <c r="A17" i="51"/>
  <c r="M26" i="28"/>
  <c r="M27" i="28"/>
  <c r="M28" i="28"/>
  <c r="M29" i="28"/>
  <c r="J38" i="28"/>
  <c r="J40" i="28"/>
  <c r="K37" i="28"/>
  <c r="L36" i="28"/>
  <c r="L31" i="28"/>
  <c r="L33" i="28"/>
  <c r="J35" i="28"/>
  <c r="K35" i="28"/>
  <c r="P23" i="51"/>
  <c r="P28" i="51"/>
  <c r="P26" i="51"/>
  <c r="P16" i="51"/>
  <c r="L28" i="28"/>
  <c r="K27" i="28"/>
  <c r="K29" i="28"/>
  <c r="P21" i="51"/>
  <c r="L26" i="28"/>
  <c r="K28" i="28"/>
  <c r="L39" i="28"/>
  <c r="K38" i="28"/>
  <c r="K36" i="28"/>
  <c r="J30" i="28"/>
  <c r="K34" i="28"/>
  <c r="L34" i="28"/>
  <c r="P20" i="51"/>
  <c r="P15" i="51"/>
  <c r="K26" i="28"/>
  <c r="J28" i="28"/>
  <c r="K40" i="28"/>
  <c r="K39" i="28"/>
  <c r="L32" i="28"/>
  <c r="J34" i="28"/>
  <c r="J31" i="28"/>
  <c r="K31" i="28"/>
  <c r="P24" i="51"/>
  <c r="P22" i="51"/>
  <c r="J26" i="28"/>
  <c r="L27" i="28"/>
  <c r="J39" i="28"/>
  <c r="L40" i="28"/>
  <c r="J37" i="28"/>
  <c r="K33" i="28"/>
  <c r="L35" i="28"/>
  <c r="K30" i="28"/>
  <c r="L30" i="28"/>
  <c r="J32" i="28"/>
  <c r="P27" i="51"/>
  <c r="P14" i="51"/>
  <c r="J27" i="28"/>
  <c r="L38" i="28"/>
  <c r="K32" i="28"/>
  <c r="J36" i="28"/>
  <c r="P25" i="51"/>
  <c r="J29" i="28"/>
  <c r="L37" i="28"/>
  <c r="J33" i="28"/>
  <c r="P19" i="51"/>
  <c r="P17" i="51"/>
  <c r="L29" i="28"/>
  <c r="A28" i="28" l="1"/>
  <c r="A4" i="28"/>
  <c r="A10" i="28"/>
  <c r="A25" i="28"/>
  <c r="A12" i="28"/>
  <c r="A7" i="28"/>
  <c r="A9" i="28"/>
  <c r="A26" i="28"/>
  <c r="A5" i="28"/>
  <c r="A6" i="28"/>
  <c r="A27" i="28"/>
  <c r="A11" i="28"/>
  <c r="A13" i="28"/>
  <c r="A8" i="28"/>
  <c r="A9" i="51"/>
  <c r="A10" i="51"/>
  <c r="A11" i="51"/>
  <c r="A12" i="51"/>
  <c r="A4" i="51"/>
  <c r="A5" i="51"/>
  <c r="A6" i="51"/>
  <c r="A7" i="51"/>
  <c r="M25" i="28"/>
  <c r="M7" i="28"/>
  <c r="M8" i="28"/>
  <c r="M21" i="28"/>
  <c r="M22" i="28"/>
  <c r="M23" i="28"/>
  <c r="M5" i="28"/>
  <c r="M6" i="28"/>
  <c r="J21" i="28"/>
  <c r="L23" i="28"/>
  <c r="P10" i="51"/>
  <c r="P5" i="51"/>
  <c r="K21" i="28"/>
  <c r="P11" i="51"/>
  <c r="K25" i="28"/>
  <c r="K8" i="28"/>
  <c r="K7" i="28"/>
  <c r="P4" i="51"/>
  <c r="J22" i="28"/>
  <c r="P12" i="51"/>
  <c r="P7" i="51"/>
  <c r="L21" i="28"/>
  <c r="L25" i="28"/>
  <c r="K22" i="28"/>
  <c r="K23" i="28"/>
  <c r="K20" i="28"/>
  <c r="J20" i="28"/>
  <c r="L20" i="28"/>
  <c r="J24" i="28"/>
  <c r="P9" i="51"/>
  <c r="P6" i="51"/>
  <c r="J23" i="28"/>
  <c r="K24" i="28"/>
  <c r="L22" i="28"/>
  <c r="J25" i="28"/>
  <c r="L24" i="28"/>
  <c r="J8" i="28"/>
  <c r="J7" i="28"/>
  <c r="A31" i="28" l="1"/>
  <c r="A33" i="28"/>
  <c r="A32" i="28"/>
  <c r="A36" i="28"/>
  <c r="A29" i="28"/>
  <c r="A35" i="28"/>
  <c r="A30" i="28"/>
  <c r="A34" i="28"/>
  <c r="M4" i="28"/>
  <c r="K5" i="28"/>
  <c r="J4" i="28"/>
  <c r="J5" i="28"/>
  <c r="J6" i="28"/>
  <c r="L4" i="28"/>
  <c r="K4" i="28"/>
  <c r="K6" i="28"/>
  <c r="B32" i="56" l="1"/>
  <c r="B34" i="56" s="1"/>
  <c r="G2" i="58" l="1"/>
  <c r="H2" i="58"/>
  <c r="A3" i="61" l="1"/>
  <c r="A4" i="61" s="1"/>
  <c r="A5" i="61" s="1"/>
  <c r="A6" i="61" s="1"/>
  <c r="A4" i="63"/>
  <c r="B99" i="56" l="1"/>
  <c r="A4" i="62" l="1"/>
  <c r="A5" i="62" s="1"/>
  <c r="A6" i="62" s="1"/>
  <c r="B96" i="56" l="1"/>
  <c r="B91" i="56" l="1"/>
  <c r="B93" i="56" s="1"/>
  <c r="W3" i="58" l="1"/>
  <c r="W4" i="58" s="1"/>
  <c r="W5" i="58" s="1"/>
  <c r="W6" i="58" s="1"/>
  <c r="V3" i="58"/>
  <c r="V4" i="58" s="1"/>
  <c r="V5" i="58" s="1"/>
  <c r="V6" i="58" s="1"/>
  <c r="U3" i="58"/>
  <c r="U4" i="58" s="1"/>
  <c r="T3" i="58"/>
  <c r="T4" i="58" s="1"/>
  <c r="T5" i="58" s="1"/>
  <c r="T6" i="58" s="1"/>
  <c r="I3" i="58"/>
  <c r="I4" i="58" s="1"/>
  <c r="I5" i="58" s="1"/>
  <c r="I6" i="58" s="1"/>
  <c r="H3" i="58"/>
  <c r="H4" i="58" s="1"/>
  <c r="H5" i="58" s="1"/>
  <c r="H6" i="58" s="1"/>
  <c r="G3" i="58"/>
  <c r="G4" i="58" s="1"/>
  <c r="G5" i="58" s="1"/>
  <c r="G6" i="58" s="1"/>
  <c r="B3" i="58"/>
  <c r="B4" i="58" s="1"/>
  <c r="B5" i="58" s="1"/>
  <c r="B6" i="58" s="1"/>
  <c r="X3" i="58" l="1"/>
  <c r="U5" i="58"/>
  <c r="X5" i="58" s="1"/>
  <c r="X4" i="58"/>
  <c r="B86" i="56"/>
  <c r="B88" i="56" s="1"/>
  <c r="U6" i="58" l="1"/>
  <c r="W6" i="59"/>
  <c r="W7" i="59" s="1"/>
  <c r="W8" i="59" s="1"/>
  <c r="W9" i="59" s="1"/>
  <c r="V6" i="59"/>
  <c r="V7" i="59" s="1"/>
  <c r="V8" i="59" s="1"/>
  <c r="V9" i="59" s="1"/>
  <c r="U6" i="59"/>
  <c r="U7" i="59" s="1"/>
  <c r="U8" i="59" s="1"/>
  <c r="U9" i="59" s="1"/>
  <c r="T6" i="59"/>
  <c r="T7" i="59" s="1"/>
  <c r="T8" i="59" s="1"/>
  <c r="T9" i="59" s="1"/>
  <c r="X6" i="58" l="1"/>
  <c r="T10" i="59"/>
  <c r="T11" i="59" s="1"/>
  <c r="T12" i="59" s="1"/>
  <c r="T13" i="59" s="1"/>
  <c r="W10" i="59"/>
  <c r="W11" i="59" s="1"/>
  <c r="W12" i="59" s="1"/>
  <c r="W13" i="59" s="1"/>
  <c r="U10" i="59"/>
  <c r="V10" i="59"/>
  <c r="V11" i="59" s="1"/>
  <c r="V12" i="59" s="1"/>
  <c r="V13" i="59" s="1"/>
  <c r="X8" i="59"/>
  <c r="X7" i="59"/>
  <c r="X6" i="59"/>
  <c r="X9" i="59"/>
  <c r="B6" i="59"/>
  <c r="B7" i="59" s="1"/>
  <c r="B8" i="59" s="1"/>
  <c r="B9" i="59" s="1"/>
  <c r="T14" i="59" l="1"/>
  <c r="T15" i="59" s="1"/>
  <c r="T16" i="59" s="1"/>
  <c r="T17" i="59" s="1"/>
  <c r="T18" i="59" s="1"/>
  <c r="T19" i="59" s="1"/>
  <c r="T20" i="59" s="1"/>
  <c r="T21" i="59" s="1"/>
  <c r="T22" i="59" s="1"/>
  <c r="T23" i="59" s="1"/>
  <c r="T24" i="59" s="1"/>
  <c r="T25" i="59" s="1"/>
  <c r="T26" i="59" s="1"/>
  <c r="T27" i="59" s="1"/>
  <c r="T28" i="59" s="1"/>
  <c r="T29" i="59" s="1"/>
  <c r="T30" i="59" s="1"/>
  <c r="T31" i="59" s="1"/>
  <c r="T32" i="59" s="1"/>
  <c r="T33" i="59" s="1"/>
  <c r="T34" i="59" s="1"/>
  <c r="T35" i="59" s="1"/>
  <c r="T36" i="59" s="1"/>
  <c r="T37" i="59" s="1"/>
  <c r="T38" i="59" s="1"/>
  <c r="T39" i="59" s="1"/>
  <c r="T40" i="59" s="1"/>
  <c r="T41" i="59" s="1"/>
  <c r="T42" i="59" s="1"/>
  <c r="T43" i="59" s="1"/>
  <c r="T44" i="59" s="1"/>
  <c r="T45" i="59" s="1"/>
  <c r="T46" i="59" s="1"/>
  <c r="T47" i="59" s="1"/>
  <c r="T48" i="59" s="1"/>
  <c r="T49" i="59" s="1"/>
  <c r="T50" i="59" s="1"/>
  <c r="T51" i="59" s="1"/>
  <c r="T52" i="59" s="1"/>
  <c r="T53" i="59" s="1"/>
  <c r="V14" i="59"/>
  <c r="V15" i="59" s="1"/>
  <c r="V16" i="59" s="1"/>
  <c r="V17" i="59" s="1"/>
  <c r="V18" i="59" s="1"/>
  <c r="V19" i="59" s="1"/>
  <c r="V20" i="59" s="1"/>
  <c r="V21" i="59" s="1"/>
  <c r="V22" i="59" s="1"/>
  <c r="V23" i="59" s="1"/>
  <c r="V24" i="59" s="1"/>
  <c r="V25" i="59" s="1"/>
  <c r="V26" i="59" s="1"/>
  <c r="V27" i="59" s="1"/>
  <c r="V28" i="59" s="1"/>
  <c r="V29" i="59" s="1"/>
  <c r="V30" i="59" s="1"/>
  <c r="V31" i="59" s="1"/>
  <c r="V32" i="59" s="1"/>
  <c r="V33" i="59" s="1"/>
  <c r="V34" i="59" s="1"/>
  <c r="V35" i="59" s="1"/>
  <c r="V36" i="59" s="1"/>
  <c r="V37" i="59" s="1"/>
  <c r="V38" i="59" s="1"/>
  <c r="V39" i="59" s="1"/>
  <c r="V40" i="59" s="1"/>
  <c r="V41" i="59" s="1"/>
  <c r="V42" i="59" s="1"/>
  <c r="W14" i="59"/>
  <c r="W15" i="59" s="1"/>
  <c r="W16" i="59" s="1"/>
  <c r="W17" i="59" s="1"/>
  <c r="W18" i="59" s="1"/>
  <c r="W19" i="59" s="1"/>
  <c r="W20" i="59" s="1"/>
  <c r="W21" i="59" s="1"/>
  <c r="W22" i="59" s="1"/>
  <c r="W23" i="59" s="1"/>
  <c r="W24" i="59" s="1"/>
  <c r="W25" i="59" s="1"/>
  <c r="W26" i="59" s="1"/>
  <c r="W27" i="59" s="1"/>
  <c r="W28" i="59" s="1"/>
  <c r="W29" i="59" s="1"/>
  <c r="W30" i="59" s="1"/>
  <c r="W31" i="59" s="1"/>
  <c r="W32" i="59" s="1"/>
  <c r="W33" i="59" s="1"/>
  <c r="W34" i="59" s="1"/>
  <c r="W35" i="59" s="1"/>
  <c r="W36" i="59" s="1"/>
  <c r="W37" i="59" s="1"/>
  <c r="W38" i="59" s="1"/>
  <c r="W39" i="59" s="1"/>
  <c r="W40" i="59" s="1"/>
  <c r="W41" i="59" s="1"/>
  <c r="W42" i="59" s="1"/>
  <c r="W43" i="59" s="1"/>
  <c r="W44" i="59" s="1"/>
  <c r="W45" i="59" s="1"/>
  <c r="W46" i="59" s="1"/>
  <c r="W47" i="59" s="1"/>
  <c r="W48" i="59" s="1"/>
  <c r="W49" i="59" s="1"/>
  <c r="W50" i="59" s="1"/>
  <c r="W51" i="59" s="1"/>
  <c r="W52" i="59" s="1"/>
  <c r="W53" i="59" s="1"/>
  <c r="B10" i="59"/>
  <c r="B11" i="59" s="1"/>
  <c r="B12" i="59" s="1"/>
  <c r="B13" i="59" s="1"/>
  <c r="X10" i="59"/>
  <c r="U11" i="59"/>
  <c r="H6" i="59"/>
  <c r="H7" i="59" s="1"/>
  <c r="H8" i="59" s="1"/>
  <c r="H9" i="59" s="1"/>
  <c r="G6" i="59"/>
  <c r="G7" i="59" s="1"/>
  <c r="G8" i="59" s="1"/>
  <c r="G9" i="59" s="1"/>
  <c r="I6" i="59"/>
  <c r="X42" i="59" l="1"/>
  <c r="V43" i="59"/>
  <c r="V44" i="59" s="1"/>
  <c r="B14" i="59"/>
  <c r="B15" i="59" s="1"/>
  <c r="B16" i="59" s="1"/>
  <c r="B17" i="59" s="1"/>
  <c r="B18" i="59" s="1"/>
  <c r="B19" i="59" s="1"/>
  <c r="B20" i="59" s="1"/>
  <c r="B21" i="59" s="1"/>
  <c r="B22" i="59" s="1"/>
  <c r="B23" i="59" s="1"/>
  <c r="B24" i="59" s="1"/>
  <c r="B25" i="59" s="1"/>
  <c r="B26" i="59" s="1"/>
  <c r="B27" i="59" s="1"/>
  <c r="B28" i="59" s="1"/>
  <c r="B29" i="59" s="1"/>
  <c r="B30" i="59" s="1"/>
  <c r="B31" i="59" s="1"/>
  <c r="B32" i="59" s="1"/>
  <c r="B33" i="59" s="1"/>
  <c r="B34" i="59" s="1"/>
  <c r="B35" i="59" s="1"/>
  <c r="B36" i="59" s="1"/>
  <c r="B37" i="59" s="1"/>
  <c r="B38" i="59" s="1"/>
  <c r="B39" i="59" s="1"/>
  <c r="B40" i="59" s="1"/>
  <c r="B41" i="59" s="1"/>
  <c r="B42" i="59" s="1"/>
  <c r="B43" i="59" s="1"/>
  <c r="B44" i="59" s="1"/>
  <c r="B45" i="59" s="1"/>
  <c r="B46" i="59" s="1"/>
  <c r="B47" i="59" s="1"/>
  <c r="B48" i="59" s="1"/>
  <c r="B49" i="59" s="1"/>
  <c r="B50" i="59" s="1"/>
  <c r="B51" i="59" s="1"/>
  <c r="B52" i="59" s="1"/>
  <c r="B53" i="59" s="1"/>
  <c r="H10" i="59"/>
  <c r="H11" i="59" s="1"/>
  <c r="H12" i="59" s="1"/>
  <c r="H13" i="59" s="1"/>
  <c r="G10" i="59"/>
  <c r="G11" i="59" s="1"/>
  <c r="G12" i="59" s="1"/>
  <c r="G13" i="59" s="1"/>
  <c r="U12" i="59"/>
  <c r="X11" i="59"/>
  <c r="I7" i="59"/>
  <c r="X43" i="59" l="1"/>
  <c r="G14" i="59"/>
  <c r="G15" i="59" s="1"/>
  <c r="G16" i="59" s="1"/>
  <c r="G17" i="59" s="1"/>
  <c r="G18" i="59" s="1"/>
  <c r="G19" i="59" s="1"/>
  <c r="G20" i="59" s="1"/>
  <c r="G21" i="59" s="1"/>
  <c r="G22" i="59" s="1"/>
  <c r="G23" i="59" s="1"/>
  <c r="G24" i="59" s="1"/>
  <c r="G25" i="59" s="1"/>
  <c r="G26" i="59" s="1"/>
  <c r="G27" i="59" s="1"/>
  <c r="G28" i="59" s="1"/>
  <c r="G29" i="59" s="1"/>
  <c r="G30" i="59" s="1"/>
  <c r="G31" i="59" s="1"/>
  <c r="G32" i="59" s="1"/>
  <c r="G33" i="59" s="1"/>
  <c r="G34" i="59" s="1"/>
  <c r="G35" i="59" s="1"/>
  <c r="G36" i="59" s="1"/>
  <c r="G37" i="59" s="1"/>
  <c r="G38" i="59" s="1"/>
  <c r="G39" i="59" s="1"/>
  <c r="G40" i="59" s="1"/>
  <c r="G41" i="59" s="1"/>
  <c r="G42" i="59" s="1"/>
  <c r="G43" i="59" s="1"/>
  <c r="G44" i="59" s="1"/>
  <c r="G45" i="59" s="1"/>
  <c r="G46" i="59" s="1"/>
  <c r="G47" i="59" s="1"/>
  <c r="G48" i="59" s="1"/>
  <c r="G49" i="59" s="1"/>
  <c r="G50" i="59" s="1"/>
  <c r="G51" i="59" s="1"/>
  <c r="G52" i="59" s="1"/>
  <c r="G53" i="59" s="1"/>
  <c r="H14" i="59"/>
  <c r="H15" i="59" s="1"/>
  <c r="H16" i="59" s="1"/>
  <c r="H17" i="59" s="1"/>
  <c r="H18" i="59" s="1"/>
  <c r="H19" i="59" s="1"/>
  <c r="H20" i="59" s="1"/>
  <c r="H21" i="59" s="1"/>
  <c r="H22" i="59" s="1"/>
  <c r="H23" i="59" s="1"/>
  <c r="H24" i="59" s="1"/>
  <c r="H25" i="59" s="1"/>
  <c r="H26" i="59" s="1"/>
  <c r="H27" i="59" s="1"/>
  <c r="H28" i="59" s="1"/>
  <c r="H29" i="59" s="1"/>
  <c r="H30" i="59" s="1"/>
  <c r="H31" i="59" s="1"/>
  <c r="H32" i="59" s="1"/>
  <c r="H33" i="59" s="1"/>
  <c r="H34" i="59" s="1"/>
  <c r="H35" i="59" s="1"/>
  <c r="H36" i="59" s="1"/>
  <c r="H37" i="59" s="1"/>
  <c r="H38" i="59" s="1"/>
  <c r="H39" i="59" s="1"/>
  <c r="H40" i="59" s="1"/>
  <c r="H41" i="59" s="1"/>
  <c r="H42" i="59" s="1"/>
  <c r="H43" i="59" s="1"/>
  <c r="H44" i="59" s="1"/>
  <c r="H45" i="59" s="1"/>
  <c r="H46" i="59" s="1"/>
  <c r="H47" i="59" s="1"/>
  <c r="H48" i="59" s="1"/>
  <c r="H49" i="59" s="1"/>
  <c r="H50" i="59" s="1"/>
  <c r="H51" i="59" s="1"/>
  <c r="H52" i="59" s="1"/>
  <c r="H53" i="59" s="1"/>
  <c r="X12" i="59"/>
  <c r="U13" i="59"/>
  <c r="U14" i="59" s="1"/>
  <c r="X44" i="59"/>
  <c r="V45" i="59"/>
  <c r="V46" i="59" s="1"/>
  <c r="I8" i="59"/>
  <c r="X14" i="59" l="1"/>
  <c r="U15" i="59"/>
  <c r="X13" i="59"/>
  <c r="X46" i="59"/>
  <c r="V47" i="59"/>
  <c r="X45" i="59"/>
  <c r="I9" i="59"/>
  <c r="X15" i="59" l="1"/>
  <c r="U16" i="59"/>
  <c r="I10" i="59"/>
  <c r="I11" i="59" s="1"/>
  <c r="I12" i="59" s="1"/>
  <c r="I13" i="59" s="1"/>
  <c r="X47" i="59"/>
  <c r="V48" i="59"/>
  <c r="I14" i="59" l="1"/>
  <c r="I15" i="59" s="1"/>
  <c r="I16" i="59" s="1"/>
  <c r="I17" i="59" s="1"/>
  <c r="I18" i="59" s="1"/>
  <c r="I19" i="59" s="1"/>
  <c r="I20" i="59" s="1"/>
  <c r="I21" i="59" s="1"/>
  <c r="I22" i="59" s="1"/>
  <c r="I23" i="59" s="1"/>
  <c r="I24" i="59" s="1"/>
  <c r="X16" i="59"/>
  <c r="U17" i="59"/>
  <c r="X48" i="59"/>
  <c r="V49" i="59"/>
  <c r="X17" i="59" l="1"/>
  <c r="U18" i="59"/>
  <c r="X49" i="59"/>
  <c r="V50" i="59"/>
  <c r="I25" i="59"/>
  <c r="I26" i="59" s="1"/>
  <c r="U19" i="59" l="1"/>
  <c r="X18" i="59"/>
  <c r="X50" i="59"/>
  <c r="V51" i="59"/>
  <c r="I27" i="59"/>
  <c r="U20" i="59" l="1"/>
  <c r="X19" i="59"/>
  <c r="X51" i="59"/>
  <c r="V52" i="59"/>
  <c r="I28" i="59"/>
  <c r="I29" i="59" s="1"/>
  <c r="I30" i="59" s="1"/>
  <c r="I31" i="59" s="1"/>
  <c r="I32" i="59" s="1"/>
  <c r="I33" i="59" s="1"/>
  <c r="I34" i="59" s="1"/>
  <c r="I35" i="59" s="1"/>
  <c r="I36" i="59" s="1"/>
  <c r="I37" i="59" s="1"/>
  <c r="I38" i="59" s="1"/>
  <c r="I39" i="59" s="1"/>
  <c r="I40" i="59" s="1"/>
  <c r="U21" i="59" l="1"/>
  <c r="X20" i="59"/>
  <c r="X52" i="59"/>
  <c r="V53" i="59"/>
  <c r="X53" i="59" s="1"/>
  <c r="I41" i="59"/>
  <c r="U22" i="59" l="1"/>
  <c r="X21" i="59"/>
  <c r="I42" i="59"/>
  <c r="I43" i="59" s="1"/>
  <c r="I44" i="59" s="1"/>
  <c r="I45" i="59" s="1"/>
  <c r="U23" i="59" l="1"/>
  <c r="X22" i="59"/>
  <c r="I46" i="59"/>
  <c r="I47" i="59" s="1"/>
  <c r="I48" i="59" s="1"/>
  <c r="I49" i="59" s="1"/>
  <c r="I50" i="59" s="1"/>
  <c r="I51" i="59" s="1"/>
  <c r="I52" i="59" s="1"/>
  <c r="I53" i="59" s="1"/>
  <c r="V54" i="59"/>
  <c r="U24" i="59" l="1"/>
  <c r="X23" i="59"/>
  <c r="V55" i="59"/>
  <c r="V56" i="59" s="1"/>
  <c r="X54" i="59"/>
  <c r="X24" i="59" l="1"/>
  <c r="U25" i="59"/>
  <c r="V57" i="59"/>
  <c r="X57" i="59" s="1"/>
  <c r="X56" i="59"/>
  <c r="X55" i="59"/>
  <c r="B72" i="56"/>
  <c r="B74" i="56" s="1"/>
  <c r="U26" i="59" l="1"/>
  <c r="X25" i="59"/>
  <c r="V58" i="59"/>
  <c r="V59" i="59" s="1"/>
  <c r="V60" i="59" s="1"/>
  <c r="U27" i="59" l="1"/>
  <c r="X26" i="59"/>
  <c r="X58" i="59"/>
  <c r="V61" i="59"/>
  <c r="X60" i="59"/>
  <c r="X59" i="59"/>
  <c r="B64" i="56"/>
  <c r="U28" i="59" l="1"/>
  <c r="X27" i="59"/>
  <c r="V62" i="59"/>
  <c r="X61" i="59"/>
  <c r="B2" i="56"/>
  <c r="B5" i="56" s="1"/>
  <c r="B8" i="56" s="1"/>
  <c r="B11" i="56" s="1"/>
  <c r="B14" i="56" s="1"/>
  <c r="B17" i="56" s="1"/>
  <c r="B20" i="56" s="1"/>
  <c r="B23" i="56" s="1"/>
  <c r="B26" i="56" s="1"/>
  <c r="B29" i="56" s="1"/>
  <c r="B37" i="56" s="1"/>
  <c r="B43" i="56" s="1"/>
  <c r="B46" i="56" s="1"/>
  <c r="B49" i="56" s="1"/>
  <c r="B52" i="56" s="1"/>
  <c r="B55" i="56" s="1"/>
  <c r="B58" i="56" s="1"/>
  <c r="B61" i="56" s="1"/>
  <c r="U29" i="59" l="1"/>
  <c r="X28" i="59"/>
  <c r="V63" i="59"/>
  <c r="V64" i="59" s="1"/>
  <c r="X62" i="59"/>
  <c r="U30" i="59" l="1"/>
  <c r="X29" i="59"/>
  <c r="V65" i="59"/>
  <c r="X64" i="59"/>
  <c r="X63" i="59"/>
  <c r="U31" i="59" l="1"/>
  <c r="X30" i="59"/>
  <c r="X65" i="59"/>
  <c r="V66" i="59"/>
  <c r="I54" i="59"/>
  <c r="I55" i="59" s="1"/>
  <c r="T54" i="59"/>
  <c r="T55" i="59" s="1"/>
  <c r="W54" i="59"/>
  <c r="W55" i="59" s="1"/>
  <c r="G54" i="59"/>
  <c r="G55" i="59" s="1"/>
  <c r="H54" i="59"/>
  <c r="H55" i="59" s="1"/>
  <c r="B54" i="59"/>
  <c r="B55" i="59" s="1"/>
  <c r="U32" i="59" l="1"/>
  <c r="X31" i="59"/>
  <c r="X66" i="59"/>
  <c r="V67" i="59"/>
  <c r="B56" i="59"/>
  <c r="B57" i="59" s="1"/>
  <c r="B58" i="59" s="1"/>
  <c r="B59" i="59" s="1"/>
  <c r="B60" i="59" s="1"/>
  <c r="B61" i="59" s="1"/>
  <c r="B62" i="59" s="1"/>
  <c r="B63" i="59" s="1"/>
  <c r="H56" i="59"/>
  <c r="H57" i="59" s="1"/>
  <c r="H58" i="59" s="1"/>
  <c r="H59" i="59" s="1"/>
  <c r="H60" i="59" s="1"/>
  <c r="H61" i="59" s="1"/>
  <c r="H62" i="59" s="1"/>
  <c r="H63" i="59" s="1"/>
  <c r="T56" i="59"/>
  <c r="T57" i="59" s="1"/>
  <c r="T58" i="59" s="1"/>
  <c r="T59" i="59" s="1"/>
  <c r="T60" i="59" s="1"/>
  <c r="T61" i="59" s="1"/>
  <c r="T62" i="59" s="1"/>
  <c r="T63" i="59" s="1"/>
  <c r="G56" i="59"/>
  <c r="G57" i="59" s="1"/>
  <c r="G58" i="59" s="1"/>
  <c r="G59" i="59" s="1"/>
  <c r="G60" i="59" s="1"/>
  <c r="G61" i="59" s="1"/>
  <c r="G62" i="59" s="1"/>
  <c r="G63" i="59" s="1"/>
  <c r="W56" i="59"/>
  <c r="W57" i="59" s="1"/>
  <c r="W58" i="59" s="1"/>
  <c r="W59" i="59" s="1"/>
  <c r="W60" i="59" s="1"/>
  <c r="W61" i="59" s="1"/>
  <c r="W62" i="59" s="1"/>
  <c r="W63" i="59" s="1"/>
  <c r="I56" i="59"/>
  <c r="I57" i="59" s="1"/>
  <c r="I58" i="59" s="1"/>
  <c r="I59" i="59" s="1"/>
  <c r="I60" i="59" s="1"/>
  <c r="I61" i="59" s="1"/>
  <c r="I62" i="59" s="1"/>
  <c r="I63" i="59" s="1"/>
  <c r="V68" i="59" l="1"/>
  <c r="U33" i="59"/>
  <c r="X32" i="59"/>
  <c r="W64" i="59"/>
  <c r="W65" i="59" s="1"/>
  <c r="W66" i="59" s="1"/>
  <c r="W67" i="59" s="1"/>
  <c r="W68" i="59" s="1"/>
  <c r="W69" i="59" s="1"/>
  <c r="G64" i="59"/>
  <c r="G65" i="59" s="1"/>
  <c r="G66" i="59" s="1"/>
  <c r="G67" i="59" s="1"/>
  <c r="G68" i="59" s="1"/>
  <c r="G69" i="59" s="1"/>
  <c r="T64" i="59"/>
  <c r="T65" i="59" s="1"/>
  <c r="T66" i="59" s="1"/>
  <c r="T67" i="59" s="1"/>
  <c r="T68" i="59" s="1"/>
  <c r="T69" i="59" s="1"/>
  <c r="B64" i="59"/>
  <c r="B65" i="59" s="1"/>
  <c r="B66" i="59" s="1"/>
  <c r="B67" i="59" s="1"/>
  <c r="B68" i="59" s="1"/>
  <c r="B69" i="59" s="1"/>
  <c r="X67" i="59"/>
  <c r="H64" i="59"/>
  <c r="H65" i="59" s="1"/>
  <c r="H66" i="59" s="1"/>
  <c r="H67" i="59" s="1"/>
  <c r="H68" i="59" s="1"/>
  <c r="H69" i="59" s="1"/>
  <c r="I64" i="59"/>
  <c r="I65" i="59" s="1"/>
  <c r="I66" i="59" s="1"/>
  <c r="I67" i="59" s="1"/>
  <c r="I68" i="59" s="1"/>
  <c r="I69" i="59" s="1"/>
  <c r="V69" i="59" l="1"/>
  <c r="X68" i="59"/>
  <c r="B70" i="59"/>
  <c r="B71" i="59" s="1"/>
  <c r="B72" i="59" s="1"/>
  <c r="B73" i="59" s="1"/>
  <c r="B74" i="59" s="1"/>
  <c r="B75" i="59" s="1"/>
  <c r="B76" i="59" s="1"/>
  <c r="B77" i="59" s="1"/>
  <c r="B78" i="59" s="1"/>
  <c r="B79" i="59" s="1"/>
  <c r="B80" i="59" s="1"/>
  <c r="B81" i="59" s="1"/>
  <c r="B82" i="59" s="1"/>
  <c r="B83" i="59" s="1"/>
  <c r="B84" i="59" s="1"/>
  <c r="B85" i="59" s="1"/>
  <c r="B86" i="59" s="1"/>
  <c r="B87" i="59" s="1"/>
  <c r="B88" i="59" s="1"/>
  <c r="B89" i="59" s="1"/>
  <c r="B90" i="59" s="1"/>
  <c r="B91" i="59" s="1"/>
  <c r="B92" i="59" s="1"/>
  <c r="B93" i="59" s="1"/>
  <c r="B94" i="59" s="1"/>
  <c r="B95" i="59" s="1"/>
  <c r="B96" i="59" s="1"/>
  <c r="B97" i="59" s="1"/>
  <c r="B98" i="59" s="1"/>
  <c r="B99" i="59" s="1"/>
  <c r="B100" i="59" s="1"/>
  <c r="B101" i="59" s="1"/>
  <c r="B102" i="59" s="1"/>
  <c r="B103" i="59" s="1"/>
  <c r="B104" i="59" s="1"/>
  <c r="B105" i="59" s="1"/>
  <c r="B106" i="59" s="1"/>
  <c r="B107" i="59" s="1"/>
  <c r="B108" i="59" s="1"/>
  <c r="B109" i="59" s="1"/>
  <c r="B110" i="59" s="1"/>
  <c r="B111" i="59" s="1"/>
  <c r="B112" i="59" s="1"/>
  <c r="B113" i="59" s="1"/>
  <c r="B114" i="59" s="1"/>
  <c r="B115" i="59" s="1"/>
  <c r="B116" i="59" s="1"/>
  <c r="B117" i="59" s="1"/>
  <c r="B118" i="59" s="1"/>
  <c r="B119" i="59" s="1"/>
  <c r="B120" i="59" s="1"/>
  <c r="B121" i="59" s="1"/>
  <c r="B122" i="59" s="1"/>
  <c r="B123" i="59" s="1"/>
  <c r="B124" i="59" s="1"/>
  <c r="B125" i="59" s="1"/>
  <c r="B126" i="59" s="1"/>
  <c r="B127" i="59" s="1"/>
  <c r="B128" i="59" s="1"/>
  <c r="B129" i="59" s="1"/>
  <c r="B130" i="59" s="1"/>
  <c r="B131" i="59" s="1"/>
  <c r="B132" i="59" s="1"/>
  <c r="B133" i="59" s="1"/>
  <c r="B134" i="59" s="1"/>
  <c r="B135" i="59" s="1"/>
  <c r="G70" i="59"/>
  <c r="G71" i="59" s="1"/>
  <c r="G72" i="59" s="1"/>
  <c r="G73" i="59" s="1"/>
  <c r="G74" i="59" s="1"/>
  <c r="G75" i="59" s="1"/>
  <c r="G76" i="59" s="1"/>
  <c r="G77" i="59" s="1"/>
  <c r="G78" i="59" s="1"/>
  <c r="G79" i="59" s="1"/>
  <c r="G80" i="59" s="1"/>
  <c r="G81" i="59" s="1"/>
  <c r="G82" i="59" s="1"/>
  <c r="G83" i="59" s="1"/>
  <c r="G84" i="59" s="1"/>
  <c r="G85" i="59" s="1"/>
  <c r="G86" i="59" s="1"/>
  <c r="G87" i="59" s="1"/>
  <c r="G88" i="59" s="1"/>
  <c r="G89" i="59" s="1"/>
  <c r="G90" i="59" s="1"/>
  <c r="G91" i="59" s="1"/>
  <c r="G92" i="59" s="1"/>
  <c r="G93" i="59" s="1"/>
  <c r="G94" i="59" s="1"/>
  <c r="G95" i="59" s="1"/>
  <c r="G96" i="59" s="1"/>
  <c r="G97" i="59" s="1"/>
  <c r="G98" i="59" s="1"/>
  <c r="G99" i="59" s="1"/>
  <c r="G100" i="59" s="1"/>
  <c r="G101" i="59" s="1"/>
  <c r="G102" i="59" s="1"/>
  <c r="G103" i="59" s="1"/>
  <c r="G104" i="59" s="1"/>
  <c r="G105" i="59" s="1"/>
  <c r="G106" i="59" s="1"/>
  <c r="G107" i="59" s="1"/>
  <c r="G108" i="59" s="1"/>
  <c r="G109" i="59" s="1"/>
  <c r="G110" i="59" s="1"/>
  <c r="G111" i="59" s="1"/>
  <c r="G112" i="59" s="1"/>
  <c r="G113" i="59" s="1"/>
  <c r="G114" i="59" s="1"/>
  <c r="G115" i="59" s="1"/>
  <c r="G116" i="59" s="1"/>
  <c r="G117" i="59" s="1"/>
  <c r="G118" i="59" s="1"/>
  <c r="G119" i="59" s="1"/>
  <c r="G120" i="59" s="1"/>
  <c r="G121" i="59" s="1"/>
  <c r="G122" i="59" s="1"/>
  <c r="G123" i="59" s="1"/>
  <c r="G124" i="59" s="1"/>
  <c r="G125" i="59" s="1"/>
  <c r="G126" i="59" s="1"/>
  <c r="G127" i="59" s="1"/>
  <c r="G128" i="59" s="1"/>
  <c r="G129" i="59" s="1"/>
  <c r="G130" i="59" s="1"/>
  <c r="G131" i="59" s="1"/>
  <c r="G132" i="59" s="1"/>
  <c r="G133" i="59" s="1"/>
  <c r="G134" i="59" s="1"/>
  <c r="G135" i="59" s="1"/>
  <c r="I70" i="59"/>
  <c r="I71" i="59" s="1"/>
  <c r="I72" i="59" s="1"/>
  <c r="I73" i="59" s="1"/>
  <c r="I74" i="59" s="1"/>
  <c r="I75" i="59" s="1"/>
  <c r="I76" i="59" s="1"/>
  <c r="I77" i="59" s="1"/>
  <c r="I78" i="59" s="1"/>
  <c r="I79" i="59" s="1"/>
  <c r="I80" i="59" s="1"/>
  <c r="I81" i="59" s="1"/>
  <c r="I82" i="59" s="1"/>
  <c r="I83" i="59" s="1"/>
  <c r="I84" i="59" s="1"/>
  <c r="I85" i="59" s="1"/>
  <c r="I86" i="59" s="1"/>
  <c r="I87" i="59" s="1"/>
  <c r="I88" i="59" s="1"/>
  <c r="I89" i="59" s="1"/>
  <c r="I90" i="59" s="1"/>
  <c r="I91" i="59" s="1"/>
  <c r="I92" i="59" s="1"/>
  <c r="I93" i="59" s="1"/>
  <c r="I94" i="59" s="1"/>
  <c r="I95" i="59" s="1"/>
  <c r="I96" i="59" s="1"/>
  <c r="I97" i="59" s="1"/>
  <c r="I98" i="59" s="1"/>
  <c r="I99" i="59" s="1"/>
  <c r="I100" i="59" s="1"/>
  <c r="I101" i="59" s="1"/>
  <c r="I102" i="59" s="1"/>
  <c r="I103" i="59" s="1"/>
  <c r="I104" i="59" s="1"/>
  <c r="I105" i="59" s="1"/>
  <c r="I106" i="59" s="1"/>
  <c r="I107" i="59" s="1"/>
  <c r="I108" i="59" s="1"/>
  <c r="I109" i="59" s="1"/>
  <c r="I110" i="59" s="1"/>
  <c r="I111" i="59" s="1"/>
  <c r="I112" i="59" s="1"/>
  <c r="I113" i="59" s="1"/>
  <c r="I114" i="59" s="1"/>
  <c r="I115" i="59" s="1"/>
  <c r="I116" i="59" s="1"/>
  <c r="I117" i="59" s="1"/>
  <c r="I118" i="59" s="1"/>
  <c r="I119" i="59" s="1"/>
  <c r="I120" i="59" s="1"/>
  <c r="I121" i="59" s="1"/>
  <c r="I122" i="59" s="1"/>
  <c r="I123" i="59" s="1"/>
  <c r="I124" i="59" s="1"/>
  <c r="I125" i="59" s="1"/>
  <c r="I126" i="59" s="1"/>
  <c r="I127" i="59" s="1"/>
  <c r="I128" i="59" s="1"/>
  <c r="I129" i="59" s="1"/>
  <c r="I130" i="59" s="1"/>
  <c r="I131" i="59" s="1"/>
  <c r="I132" i="59" s="1"/>
  <c r="I133" i="59" s="1"/>
  <c r="I134" i="59" s="1"/>
  <c r="I135" i="59" s="1"/>
  <c r="H70" i="59"/>
  <c r="H71" i="59" s="1"/>
  <c r="H72" i="59" s="1"/>
  <c r="H73" i="59" s="1"/>
  <c r="H74" i="59" s="1"/>
  <c r="H75" i="59" s="1"/>
  <c r="H76" i="59" s="1"/>
  <c r="H77" i="59" s="1"/>
  <c r="H78" i="59" s="1"/>
  <c r="H79" i="59" s="1"/>
  <c r="H80" i="59" s="1"/>
  <c r="H81" i="59" s="1"/>
  <c r="H82" i="59" s="1"/>
  <c r="H83" i="59" s="1"/>
  <c r="H84" i="59" s="1"/>
  <c r="H85" i="59" s="1"/>
  <c r="H86" i="59" s="1"/>
  <c r="H87" i="59" s="1"/>
  <c r="H88" i="59" s="1"/>
  <c r="H89" i="59" s="1"/>
  <c r="H90" i="59" s="1"/>
  <c r="H91" i="59" s="1"/>
  <c r="H92" i="59" s="1"/>
  <c r="H93" i="59" s="1"/>
  <c r="H94" i="59" s="1"/>
  <c r="H95" i="59" s="1"/>
  <c r="H96" i="59" s="1"/>
  <c r="H97" i="59" s="1"/>
  <c r="H98" i="59" s="1"/>
  <c r="H99" i="59" s="1"/>
  <c r="H100" i="59" s="1"/>
  <c r="H101" i="59" s="1"/>
  <c r="H102" i="59" s="1"/>
  <c r="H103" i="59" s="1"/>
  <c r="H104" i="59" s="1"/>
  <c r="H105" i="59" s="1"/>
  <c r="H106" i="59" s="1"/>
  <c r="H107" i="59" s="1"/>
  <c r="H108" i="59" s="1"/>
  <c r="H109" i="59" s="1"/>
  <c r="H110" i="59" s="1"/>
  <c r="H111" i="59" s="1"/>
  <c r="H112" i="59" s="1"/>
  <c r="H113" i="59" s="1"/>
  <c r="H114" i="59" s="1"/>
  <c r="H115" i="59" s="1"/>
  <c r="H116" i="59" s="1"/>
  <c r="H117" i="59" s="1"/>
  <c r="H118" i="59" s="1"/>
  <c r="H119" i="59" s="1"/>
  <c r="H120" i="59" s="1"/>
  <c r="H121" i="59" s="1"/>
  <c r="H122" i="59" s="1"/>
  <c r="H123" i="59" s="1"/>
  <c r="H124" i="59" s="1"/>
  <c r="H125" i="59" s="1"/>
  <c r="H126" i="59" s="1"/>
  <c r="H127" i="59" s="1"/>
  <c r="H128" i="59" s="1"/>
  <c r="H129" i="59" s="1"/>
  <c r="H130" i="59" s="1"/>
  <c r="H131" i="59" s="1"/>
  <c r="H132" i="59" s="1"/>
  <c r="H133" i="59" s="1"/>
  <c r="H134" i="59" s="1"/>
  <c r="H135" i="59" s="1"/>
  <c r="T70" i="59"/>
  <c r="T71" i="59" s="1"/>
  <c r="T72" i="59" s="1"/>
  <c r="W70" i="59"/>
  <c r="W71" i="59" s="1"/>
  <c r="W72" i="59" s="1"/>
  <c r="W73" i="59" s="1"/>
  <c r="W74" i="59" s="1"/>
  <c r="W75" i="59" s="1"/>
  <c r="W76" i="59" s="1"/>
  <c r="W77" i="59" s="1"/>
  <c r="W78" i="59" s="1"/>
  <c r="W79" i="59" s="1"/>
  <c r="W80" i="59" s="1"/>
  <c r="W81" i="59" s="1"/>
  <c r="W82" i="59" s="1"/>
  <c r="W83" i="59" s="1"/>
  <c r="W84" i="59" s="1"/>
  <c r="W85" i="59" s="1"/>
  <c r="W86" i="59" s="1"/>
  <c r="W87" i="59" s="1"/>
  <c r="W88" i="59" s="1"/>
  <c r="W89" i="59" s="1"/>
  <c r="W90" i="59" s="1"/>
  <c r="W91" i="59" s="1"/>
  <c r="W92" i="59" s="1"/>
  <c r="W93" i="59" s="1"/>
  <c r="W94" i="59" s="1"/>
  <c r="W95" i="59" s="1"/>
  <c r="W96" i="59" s="1"/>
  <c r="W97" i="59" s="1"/>
  <c r="W98" i="59" s="1"/>
  <c r="W99" i="59" s="1"/>
  <c r="W100" i="59" s="1"/>
  <c r="W101" i="59" s="1"/>
  <c r="W102" i="59" s="1"/>
  <c r="W103" i="59" s="1"/>
  <c r="W104" i="59" s="1"/>
  <c r="X33" i="59"/>
  <c r="U34" i="59"/>
  <c r="X69" i="59" l="1"/>
  <c r="V70" i="59"/>
  <c r="T73" i="59"/>
  <c r="X73" i="59" s="1"/>
  <c r="X72" i="59"/>
  <c r="X104" i="59"/>
  <c r="W105" i="59"/>
  <c r="W106" i="59" s="1"/>
  <c r="X34" i="59"/>
  <c r="U35" i="59"/>
  <c r="V71" i="59" l="1"/>
  <c r="X70" i="59"/>
  <c r="T74" i="59"/>
  <c r="X105" i="59"/>
  <c r="U36" i="59"/>
  <c r="X35" i="59"/>
  <c r="W107" i="59"/>
  <c r="X106" i="59"/>
  <c r="X71" i="59" l="1"/>
  <c r="V72" i="59"/>
  <c r="V73" i="59" s="1"/>
  <c r="V74" i="59" s="1"/>
  <c r="V75" i="59" s="1"/>
  <c r="V76" i="59" s="1"/>
  <c r="V77" i="59" s="1"/>
  <c r="V78" i="59" s="1"/>
  <c r="V79" i="59" s="1"/>
  <c r="V80" i="59" s="1"/>
  <c r="V81" i="59" s="1"/>
  <c r="V82" i="59" s="1"/>
  <c r="V83" i="59" s="1"/>
  <c r="V84" i="59" s="1"/>
  <c r="V85" i="59" s="1"/>
  <c r="V86" i="59" s="1"/>
  <c r="V87" i="59" s="1"/>
  <c r="V88" i="59" s="1"/>
  <c r="V89" i="59" s="1"/>
  <c r="V90" i="59" s="1"/>
  <c r="V91" i="59" s="1"/>
  <c r="V92" i="59" s="1"/>
  <c r="V93" i="59" s="1"/>
  <c r="V94" i="59" s="1"/>
  <c r="V95" i="59" s="1"/>
  <c r="V96" i="59" s="1"/>
  <c r="V97" i="59" s="1"/>
  <c r="V98" i="59" s="1"/>
  <c r="V99" i="59" s="1"/>
  <c r="V100" i="59" s="1"/>
  <c r="V101" i="59" s="1"/>
  <c r="V102" i="59" s="1"/>
  <c r="V103" i="59" s="1"/>
  <c r="V104" i="59" s="1"/>
  <c r="V105" i="59" s="1"/>
  <c r="V106" i="59" s="1"/>
  <c r="V107" i="59" s="1"/>
  <c r="V108" i="59" s="1"/>
  <c r="V109" i="59" s="1"/>
  <c r="V110" i="59" s="1"/>
  <c r="V111" i="59" s="1"/>
  <c r="V112" i="59" s="1"/>
  <c r="V113" i="59" s="1"/>
  <c r="V114" i="59" s="1"/>
  <c r="V115" i="59" s="1"/>
  <c r="V116" i="59" s="1"/>
  <c r="V117" i="59" s="1"/>
  <c r="V118" i="59" s="1"/>
  <c r="V119" i="59" s="1"/>
  <c r="V120" i="59" s="1"/>
  <c r="V121" i="59" s="1"/>
  <c r="V122" i="59" s="1"/>
  <c r="V123" i="59" s="1"/>
  <c r="V124" i="59" s="1"/>
  <c r="T75" i="59"/>
  <c r="X74" i="59"/>
  <c r="X36" i="59"/>
  <c r="U37" i="59"/>
  <c r="X107" i="59"/>
  <c r="X124" i="59" l="1"/>
  <c r="V125" i="59"/>
  <c r="T76" i="59"/>
  <c r="X75" i="59"/>
  <c r="X37" i="59"/>
  <c r="U38" i="59"/>
  <c r="V126" i="59" l="1"/>
  <c r="X125" i="59"/>
  <c r="T77" i="59"/>
  <c r="X76" i="59"/>
  <c r="U39" i="59"/>
  <c r="X38" i="59"/>
  <c r="W108" i="59"/>
  <c r="V127" i="59" l="1"/>
  <c r="X126" i="59"/>
  <c r="X77" i="59"/>
  <c r="T78" i="59"/>
  <c r="U40" i="59"/>
  <c r="X39" i="59"/>
  <c r="X108" i="59"/>
  <c r="W109" i="59"/>
  <c r="X127" i="59" l="1"/>
  <c r="V128" i="59"/>
  <c r="V129" i="59" s="1"/>
  <c r="V130" i="59" s="1"/>
  <c r="V131" i="59" s="1"/>
  <c r="V132" i="59" s="1"/>
  <c r="T79" i="59"/>
  <c r="X79" i="59" s="1"/>
  <c r="X78" i="59"/>
  <c r="U41" i="59"/>
  <c r="X40" i="59"/>
  <c r="W110" i="59"/>
  <c r="X109" i="59"/>
  <c r="V133" i="59" l="1"/>
  <c r="X132" i="59"/>
  <c r="T80" i="59"/>
  <c r="X41" i="59"/>
  <c r="U42" i="59"/>
  <c r="U43" i="59" s="1"/>
  <c r="U44" i="59" s="1"/>
  <c r="U45" i="59" s="1"/>
  <c r="U46" i="59" s="1"/>
  <c r="U47" i="59" s="1"/>
  <c r="U48" i="59" s="1"/>
  <c r="U49" i="59" s="1"/>
  <c r="U50" i="59" s="1"/>
  <c r="U51" i="59" s="1"/>
  <c r="U52" i="59" s="1"/>
  <c r="U53" i="59" s="1"/>
  <c r="U54" i="59" s="1"/>
  <c r="U55" i="59" s="1"/>
  <c r="U56" i="59" s="1"/>
  <c r="U57" i="59" s="1"/>
  <c r="U58" i="59" s="1"/>
  <c r="U59" i="59" s="1"/>
  <c r="U60" i="59" s="1"/>
  <c r="U61" i="59" s="1"/>
  <c r="U62" i="59" s="1"/>
  <c r="U63" i="59" s="1"/>
  <c r="U64" i="59" s="1"/>
  <c r="U65" i="59" s="1"/>
  <c r="U66" i="59" s="1"/>
  <c r="U67" i="59" s="1"/>
  <c r="U68" i="59" s="1"/>
  <c r="U69" i="59" s="1"/>
  <c r="W111" i="59"/>
  <c r="X110" i="59"/>
  <c r="X133" i="59" l="1"/>
  <c r="V134" i="59"/>
  <c r="U70" i="59"/>
  <c r="U71" i="59" s="1"/>
  <c r="U72" i="59" s="1"/>
  <c r="U73" i="59" s="1"/>
  <c r="U74" i="59" s="1"/>
  <c r="U75" i="59" s="1"/>
  <c r="U76" i="59" s="1"/>
  <c r="U77" i="59" s="1"/>
  <c r="U78" i="59" s="1"/>
  <c r="U79" i="59" s="1"/>
  <c r="U80" i="59" s="1"/>
  <c r="U81" i="59" s="1"/>
  <c r="U82" i="59" s="1"/>
  <c r="U83" i="59" s="1"/>
  <c r="U84" i="59" s="1"/>
  <c r="U85" i="59" s="1"/>
  <c r="U86" i="59" s="1"/>
  <c r="U87" i="59" s="1"/>
  <c r="U88" i="59" s="1"/>
  <c r="U89" i="59" s="1"/>
  <c r="U90" i="59" s="1"/>
  <c r="U91" i="59" s="1"/>
  <c r="U92" i="59" s="1"/>
  <c r="U93" i="59" s="1"/>
  <c r="U94" i="59" s="1"/>
  <c r="U95" i="59" s="1"/>
  <c r="U96" i="59" s="1"/>
  <c r="U97" i="59" s="1"/>
  <c r="U98" i="59" s="1"/>
  <c r="U99" i="59" s="1"/>
  <c r="U100" i="59" s="1"/>
  <c r="U101" i="59" s="1"/>
  <c r="U102" i="59" s="1"/>
  <c r="U103" i="59" s="1"/>
  <c r="U104" i="59" s="1"/>
  <c r="U105" i="59" s="1"/>
  <c r="U106" i="59" s="1"/>
  <c r="U107" i="59" s="1"/>
  <c r="U108" i="59" s="1"/>
  <c r="U109" i="59" s="1"/>
  <c r="U110" i="59" s="1"/>
  <c r="U111" i="59" s="1"/>
  <c r="U112" i="59" s="1"/>
  <c r="U113" i="59" s="1"/>
  <c r="U114" i="59" s="1"/>
  <c r="U115" i="59" s="1"/>
  <c r="U116" i="59" s="1"/>
  <c r="U117" i="59" s="1"/>
  <c r="U118" i="59" s="1"/>
  <c r="U119" i="59" s="1"/>
  <c r="U120" i="59" s="1"/>
  <c r="U121" i="59" s="1"/>
  <c r="U122" i="59" s="1"/>
  <c r="U123" i="59" s="1"/>
  <c r="U124" i="59" s="1"/>
  <c r="U125" i="59" s="1"/>
  <c r="U126" i="59" s="1"/>
  <c r="U127" i="59" s="1"/>
  <c r="U128" i="59" s="1"/>
  <c r="U129" i="59" s="1"/>
  <c r="U130" i="59" s="1"/>
  <c r="U131" i="59" s="1"/>
  <c r="U132" i="59" s="1"/>
  <c r="U133" i="59" s="1"/>
  <c r="U134" i="59" s="1"/>
  <c r="U135" i="59" s="1"/>
  <c r="T81" i="59"/>
  <c r="X80" i="59"/>
  <c r="X111" i="59"/>
  <c r="W112" i="59"/>
  <c r="X134" i="59" l="1"/>
  <c r="V135" i="59"/>
  <c r="X135" i="59" s="1"/>
  <c r="X81" i="59"/>
  <c r="T82" i="59"/>
  <c r="X112" i="59"/>
  <c r="W113" i="59"/>
  <c r="T83" i="59" l="1"/>
  <c r="X82" i="59"/>
  <c r="X113" i="59"/>
  <c r="W114" i="59"/>
  <c r="X83" i="59" l="1"/>
  <c r="T84" i="59"/>
  <c r="X114" i="59"/>
  <c r="W115" i="59"/>
  <c r="T85" i="59" l="1"/>
  <c r="X84" i="59"/>
  <c r="X115" i="59"/>
  <c r="W116" i="59"/>
  <c r="X85" i="59" l="1"/>
  <c r="T86" i="59"/>
  <c r="X116" i="59"/>
  <c r="W117" i="59"/>
  <c r="X86" i="59" l="1"/>
  <c r="T87" i="59"/>
  <c r="X117" i="59"/>
  <c r="W118" i="59"/>
  <c r="T88" i="59" l="1"/>
  <c r="X87" i="59"/>
  <c r="X118" i="59"/>
  <c r="W119" i="59"/>
  <c r="W120" i="59" s="1"/>
  <c r="X120" i="59" l="1"/>
  <c r="W121" i="59"/>
  <c r="T89" i="59"/>
  <c r="X88" i="59"/>
  <c r="X119" i="59"/>
  <c r="W122" i="59" l="1"/>
  <c r="X121" i="59"/>
  <c r="T90" i="59"/>
  <c r="X89" i="59"/>
  <c r="X122" i="59" l="1"/>
  <c r="W123" i="59"/>
  <c r="T91" i="59"/>
  <c r="X90" i="59"/>
  <c r="W124" i="59" l="1"/>
  <c r="W125" i="59" s="1"/>
  <c r="W126" i="59" s="1"/>
  <c r="W127" i="59" s="1"/>
  <c r="W128" i="59" s="1"/>
  <c r="X123" i="59"/>
  <c r="T92" i="59"/>
  <c r="X91" i="59"/>
  <c r="W129" i="59" l="1"/>
  <c r="X128" i="59"/>
  <c r="T93" i="59"/>
  <c r="X92" i="59"/>
  <c r="W130" i="59" l="1"/>
  <c r="X129" i="59"/>
  <c r="T94" i="59"/>
  <c r="X93" i="59"/>
  <c r="W131" i="59" l="1"/>
  <c r="X130" i="59"/>
  <c r="T95" i="59"/>
  <c r="X94" i="59"/>
  <c r="W132" i="59" l="1"/>
  <c r="W133" i="59" s="1"/>
  <c r="W134" i="59" s="1"/>
  <c r="W135" i="59" s="1"/>
  <c r="X131" i="59"/>
  <c r="X95" i="59"/>
  <c r="T96" i="59"/>
  <c r="T97" i="59" l="1"/>
  <c r="X96" i="59"/>
  <c r="T98" i="59" l="1"/>
  <c r="X97" i="59"/>
  <c r="X98" i="59" l="1"/>
  <c r="T99" i="59"/>
  <c r="T100" i="59" l="1"/>
  <c r="X99" i="59"/>
  <c r="X100" i="59" l="1"/>
  <c r="T101" i="59"/>
  <c r="T102" i="59" l="1"/>
  <c r="X101" i="59"/>
  <c r="T103" i="59" l="1"/>
  <c r="X102" i="59"/>
  <c r="T104" i="59" l="1"/>
  <c r="T105" i="59" s="1"/>
  <c r="T106" i="59" s="1"/>
  <c r="T107" i="59" s="1"/>
  <c r="T108" i="59" s="1"/>
  <c r="T109" i="59" s="1"/>
  <c r="T110" i="59" s="1"/>
  <c r="T111" i="59" s="1"/>
  <c r="T112" i="59" s="1"/>
  <c r="T113" i="59" s="1"/>
  <c r="T114" i="59" s="1"/>
  <c r="T115" i="59" s="1"/>
  <c r="T116" i="59" s="1"/>
  <c r="T117" i="59" s="1"/>
  <c r="T118" i="59" s="1"/>
  <c r="T119" i="59" s="1"/>
  <c r="T120" i="59" s="1"/>
  <c r="T121" i="59" s="1"/>
  <c r="T122" i="59" s="1"/>
  <c r="T123" i="59" s="1"/>
  <c r="T124" i="59" s="1"/>
  <c r="T125" i="59" s="1"/>
  <c r="T126" i="59" s="1"/>
  <c r="T127" i="59" s="1"/>
  <c r="T128" i="59" s="1"/>
  <c r="T129" i="59" s="1"/>
  <c r="T130" i="59" s="1"/>
  <c r="T131" i="59" s="1"/>
  <c r="T132" i="59" s="1"/>
  <c r="T133" i="59" s="1"/>
  <c r="T134" i="59" s="1"/>
  <c r="T135" i="59" s="1"/>
  <c r="X103" i="59"/>
</calcChain>
</file>

<file path=xl/comments1.xml><?xml version="1.0" encoding="utf-8"?>
<comments xmlns="http://schemas.openxmlformats.org/spreadsheetml/2006/main">
  <authors>
    <author>Nguyen, Thuy Huy</author>
  </authors>
  <commentList>
    <comment ref="A1" authorId="0" shapeId="0">
      <text>
        <r>
          <rPr>
            <sz val="9"/>
            <color indexed="81"/>
            <rFont val="Calibri"/>
            <family val="2"/>
          </rPr>
          <t>Imported cells_x000D_
these columns are locked for any operation._x000D_
So the only way to change this is by importing them.</t>
        </r>
      </text>
    </comment>
    <comment ref="H1" authorId="0" shapeId="0">
      <text>
        <r>
          <rPr>
            <sz val="9"/>
            <color indexed="81"/>
            <rFont val="Calibri"/>
            <family val="2"/>
          </rPr>
          <t>The scale factor and the bias are calculated_x000D_
from 2 points (IO Value, Simulator Value)._x000D_
Fill in columns with headings "IO Value 1", "IO Value 2",_x000D_
"Simulator Value 1" and "Simulator Value 2"_x000D_
so that the 2 points can be defined._x000D_
Uniform scaling will be used if no data is given.</t>
        </r>
      </text>
    </comment>
    <comment ref="M1" authorId="0" shapeId="0">
      <text>
        <r>
          <rPr>
            <sz val="9"/>
            <color indexed="81"/>
            <rFont val="Calibri"/>
            <family val="2"/>
          </rPr>
          <t>After the scaling function, a simulator output signal can_x000D_
also be saturated. Fill in the "IO Saturation" column._x000D_
Enable or disable saturation by providing respectively _x000D_
"TRUE" or "FALSE" values. High and low limits are_x000D_
to be defined in the "Saturation limit low" and_x000D_
"Saturation limit high" columns.</t>
        </r>
      </text>
    </comment>
    <comment ref="E2" authorId="0" shapeId="0">
      <text>
        <r>
          <rPr>
            <sz val="9"/>
            <color indexed="81"/>
            <rFont val="Calibri"/>
            <family val="2"/>
          </rPr>
          <t>From "Vendor Signal List" choose vendor group_x000D_
from drop down menu. This can easily be_x000D_
achieved by pressing [ALT+ arrow down]._x000D_
_x000D_
It is also possible to copy the name from one cell_x000D_
to the next.</t>
        </r>
      </text>
    </comment>
    <comment ref="F2" authorId="0" shapeId="0">
      <text>
        <r>
          <rPr>
            <sz val="9"/>
            <color indexed="81"/>
            <rFont val="Calibri"/>
            <family val="2"/>
          </rPr>
          <t xml:space="preserve">From "Vendor Signal List" choose vendor tag to_x000D_
associate with simulator signal, from the drop_x000D_
down menu. The drop down menu will only be_x000D_
available if a group is selected in the vendor_x000D_
group cell to the right of the current cell you have_x000D_
selected._x000D_
_x000D_
The perhaps easiest way to drop down the menu_x000D_
is by using the shortcut [ALT + arrowDown] </t>
        </r>
      </text>
    </comment>
    <comment ref="G2" authorId="0" shapeId="0">
      <text>
        <r>
          <rPr>
            <sz val="9"/>
            <color indexed="81"/>
            <rFont val="Calibri"/>
            <family val="2"/>
          </rPr>
          <t>From "Vendor Signal List" column . Once a group and a_x000D_
tag is selected, this is automatically fetched from the_x000D_
"Vendor signal list"</t>
        </r>
      </text>
    </comment>
    <comment ref="H2" authorId="0" shapeId="0">
      <text>
        <r>
          <rPr>
            <sz val="9"/>
            <color indexed="81"/>
            <rFont val="Calibri"/>
            <family val="2"/>
          </rPr>
          <t>Enable or disable the scaling function by providing_x000D_
respectively "Scale" or "NoScale" values in the column._x000D_
For digital signals "Invert" value can be selected_x000D_
so that a signal value will be inverted from "0.0" to "1.0"_x000D_
or vice versa (can be done by scaling too).</t>
        </r>
      </text>
    </comment>
  </commentList>
</comments>
</file>

<file path=xl/comments2.xml><?xml version="1.0" encoding="utf-8"?>
<comments xmlns="http://schemas.openxmlformats.org/spreadsheetml/2006/main">
  <authors>
    <author>Nguyen, Thuy Huy</author>
  </authors>
  <commentList>
    <comment ref="A1" authorId="0" shapeId="0">
      <text>
        <r>
          <rPr>
            <sz val="9"/>
            <color indexed="81"/>
            <rFont val="Calibri"/>
            <family val="2"/>
          </rPr>
          <t>The signals are controlled directly from a simulator_x000D_
(i.e. not as an output of the simulator model,_x000D_
but set manually by an operator of the simulator).</t>
        </r>
      </text>
    </comment>
    <comment ref="H1" authorId="0" shapeId="0">
      <text>
        <r>
          <rPr>
            <sz val="9"/>
            <color indexed="81"/>
            <rFont val="Calibri"/>
            <family val="2"/>
          </rPr>
          <t>The scale factor and the bias are calculated_x000D_
from 2 points (IO Value, Simulator Value)._x000D_
Fill in columns with headings "IO Value 1", "IO Value 2",_x000D_
"Simulator Value 1" and "Simulator Value 2"_x000D_
so that the 2 points can be defined._x000D_
Uniform scaling will be used if no data is given.</t>
        </r>
      </text>
    </comment>
    <comment ref="M1" authorId="0" shapeId="0">
      <text>
        <r>
          <rPr>
            <sz val="9"/>
            <color indexed="81"/>
            <rFont val="Calibri"/>
            <family val="2"/>
          </rPr>
          <t>After the scaling function, a simulator output signal can_x000D_
also be saturated. Fill in the "IO Saturation" column._x000D_
Enable or disable saturation by providing respectively _x000D_
"TRUE" or "FALSE" values. High and low limits are_x000D_
to be defined in the "Saturation limit low" and_x000D_
"Saturation limit high" columns.</t>
        </r>
      </text>
    </comment>
    <comment ref="E2" authorId="0" shapeId="0">
      <text>
        <r>
          <rPr>
            <sz val="9"/>
            <color indexed="81"/>
            <rFont val="Calibri"/>
            <family val="2"/>
          </rPr>
          <t>From "Vendor Signal List" choose vendor group_x000D_
from drop down menu. This can easily be_x000D_
achieved by pressing [ALT+ arrow down]._x000D_
_x000D_
It is also possible to copy the name from one cell_x000D_
to the next.</t>
        </r>
      </text>
    </comment>
    <comment ref="F2" authorId="0" shapeId="0">
      <text>
        <r>
          <rPr>
            <sz val="9"/>
            <color indexed="81"/>
            <rFont val="Calibri"/>
            <family val="2"/>
          </rPr>
          <t xml:space="preserve">From "Vendor Signal List" choose vendor tag to_x000D_
associate with simulator signal, from the drop_x000D_
down menu. The drop down menu will only be_x000D_
available if a group is selected in the vendor_x000D_
group cell to the right of the current cell you have_x000D_
selected._x000D_
_x000D_
The perhaps easiest way to drop down the menu_x000D_
is by using the shortcut [ALT + arrowDown] </t>
        </r>
      </text>
    </comment>
    <comment ref="G2" authorId="0" shapeId="0">
      <text>
        <r>
          <rPr>
            <sz val="9"/>
            <color indexed="81"/>
            <rFont val="Calibri"/>
            <family val="2"/>
          </rPr>
          <t>From "Vendor Signal List" column . Once a group and a_x000D_
tag is selected, this is automatically fetched from the_x000D_
"Vendor signal list"</t>
        </r>
      </text>
    </comment>
    <comment ref="H2" authorId="0" shapeId="0">
      <text>
        <r>
          <rPr>
            <sz val="9"/>
            <color indexed="81"/>
            <rFont val="Calibri"/>
            <family val="2"/>
          </rPr>
          <t>Enable or disable the scaling function by providing_x000D_
respectively "Scale" or "NoScale" values in the column._x000D_
For digital signals "Invert" value can be selected_x000D_
so that a signal value will be inverted from "0.0" to "1.0"_x000D_
or vice versa (can be done by scaling too).</t>
        </r>
      </text>
    </comment>
    <comment ref="A3" authorId="0" shapeId="0">
      <text>
        <r>
          <rPr>
            <sz val="9"/>
            <color indexed="81"/>
            <rFont val="Calibri"/>
            <family val="2"/>
          </rPr>
          <t>Module name</t>
        </r>
      </text>
    </comment>
    <comment ref="E3" authorId="0" shapeId="0">
      <text>
        <r>
          <rPr>
            <sz val="9"/>
            <color indexed="81"/>
            <rFont val="Calibri"/>
            <family val="2"/>
          </rPr>
          <t>Module description</t>
        </r>
      </text>
    </comment>
    <comment ref="A8" authorId="0" shapeId="0">
      <text>
        <r>
          <rPr>
            <sz val="9"/>
            <color indexed="81"/>
            <rFont val="Calibri"/>
            <family val="2"/>
          </rPr>
          <t>Module name</t>
        </r>
      </text>
    </comment>
    <comment ref="E8" authorId="0" shapeId="0">
      <text>
        <r>
          <rPr>
            <sz val="9"/>
            <color indexed="81"/>
            <rFont val="Calibri"/>
            <family val="2"/>
          </rPr>
          <t>Module description</t>
        </r>
      </text>
    </comment>
    <comment ref="A13" authorId="0" shapeId="0">
      <text>
        <r>
          <rPr>
            <sz val="9"/>
            <color indexed="81"/>
            <rFont val="Calibri"/>
            <family val="2"/>
          </rPr>
          <t>Module name</t>
        </r>
      </text>
    </comment>
    <comment ref="E13" authorId="0" shapeId="0">
      <text>
        <r>
          <rPr>
            <sz val="9"/>
            <color indexed="81"/>
            <rFont val="Calibri"/>
            <family val="2"/>
          </rPr>
          <t>Module description</t>
        </r>
      </text>
    </comment>
    <comment ref="A18" authorId="0" shapeId="0">
      <text>
        <r>
          <rPr>
            <sz val="9"/>
            <color indexed="81"/>
            <rFont val="Calibri"/>
            <family val="2"/>
          </rPr>
          <t>Module name</t>
        </r>
      </text>
    </comment>
    <comment ref="E18" authorId="0" shapeId="0">
      <text>
        <r>
          <rPr>
            <sz val="9"/>
            <color indexed="81"/>
            <rFont val="Calibri"/>
            <family val="2"/>
          </rPr>
          <t>Module description</t>
        </r>
      </text>
    </comment>
  </commentList>
</comments>
</file>

<file path=xl/comments3.xml><?xml version="1.0" encoding="utf-8"?>
<comments xmlns="http://schemas.openxmlformats.org/spreadsheetml/2006/main">
  <authors>
    <author>Trond-Harald Bordewich</author>
    <author>Nguyen, Thuy Huy</author>
  </authors>
  <commentList>
    <comment ref="B2"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2" authorId="0" shapeId="0">
      <text>
        <r>
          <rPr>
            <b/>
            <sz val="9"/>
            <color indexed="81"/>
            <rFont val="Tahoma"/>
            <family val="2"/>
          </rPr>
          <t xml:space="preserve">TIP:
</t>
        </r>
        <r>
          <rPr>
            <sz val="9"/>
            <color indexed="81"/>
            <rFont val="Tahoma"/>
            <family val="2"/>
          </rPr>
          <t xml:space="preserve">
The Modbus node this signal belongs to.
The node name should be found in Driver config</t>
        </r>
      </text>
    </comment>
    <comment ref="D2" authorId="0" shapeId="0">
      <text>
        <r>
          <rPr>
            <b/>
            <sz val="9"/>
            <color indexed="81"/>
            <rFont val="Tahoma"/>
            <family val="2"/>
          </rPr>
          <t xml:space="preserve">TIP:
</t>
        </r>
        <r>
          <rPr>
            <sz val="9"/>
            <color indexed="81"/>
            <rFont val="Tahoma"/>
            <family val="2"/>
          </rPr>
          <t xml:space="preserve">
Modbus area to place signal value. Each area is a separate memory area where digital and analog values are stored.
• 0   (0:xxxxx Coils / Discrete outputs )
• 1   (1:xxxxx Inputs / Discrete inputs)
• 3   (3:xxxxx Input registers)
• 4   (4:xxxxx Holding registers /Output registers)</t>
        </r>
      </text>
    </comment>
    <comment ref="E2" authorId="0" shapeId="0">
      <text>
        <r>
          <rPr>
            <b/>
            <sz val="9"/>
            <color indexed="81"/>
            <rFont val="Tahoma"/>
            <family val="2"/>
          </rPr>
          <t xml:space="preserve">TIP:
</t>
        </r>
        <r>
          <rPr>
            <sz val="9"/>
            <color indexed="81"/>
            <rFont val="Tahoma"/>
            <family val="2"/>
          </rPr>
          <t xml:space="preserve">
Modbus address (Different names may occur)
Range 1 - 65536
According to the "standard, the first address is 1, even though this is transmitted as 0. This has of course caused a lot of trouble, since some manufacturers use 0-based addresses while other use 1-based. This is often not evident from the documentation. In our configuration tools, 1-based addresses are used. The highest address is 65536 (1-based). 
Tip: When configuring Modbus, add a variable that switches between 0-based and 1-based addresses to make it easy to change.          
The different address fields are often concatenated. It is for example not uncommon to say that a value resides on the address 400001 or 40001, when referring to address 1 in area 4. However, 40001 is also a valid address in any of the areas, so it might be an address in any area.
It is not unusual to cram everything together in area 4. If area is not mentioned anywhere, it is quite likely that this is the case.</t>
        </r>
      </text>
    </comment>
    <comment ref="F2" authorId="0" shapeId="0">
      <text>
        <r>
          <rPr>
            <b/>
            <sz val="9"/>
            <color indexed="81"/>
            <rFont val="Tahoma"/>
            <family val="2"/>
          </rPr>
          <t xml:space="preserve">TIP:
</t>
        </r>
        <r>
          <rPr>
            <sz val="9"/>
            <color indexed="81"/>
            <rFont val="Tahoma"/>
            <family val="2"/>
          </rPr>
          <t xml:space="preserve">
Bit number. Used only when bit values are stored in words in area 3 or 4. This shall not be used when bit values are stored in area 0 or 1. Doing so will cause a preprocessor error.
Integer: range 0-15</t>
        </r>
      </text>
    </comment>
    <comment ref="G2" authorId="0" shapeId="0">
      <text>
        <r>
          <rPr>
            <b/>
            <sz val="9"/>
            <color indexed="81"/>
            <rFont val="Tahoma"/>
            <family val="2"/>
          </rPr>
          <t xml:space="preserve">TIP:
</t>
        </r>
        <r>
          <rPr>
            <sz val="9"/>
            <color indexed="81"/>
            <rFont val="Tahoma"/>
            <family val="2"/>
          </rPr>
          <t xml:space="preserve">
Data representation
Only used for non-standard data types with 
size &gt; 1 word (Uint32, Int32, Float).
LittleEndian, BigEndian</t>
        </r>
      </text>
    </comment>
    <comment ref="I2" authorId="1" shapeId="0">
      <text>
        <r>
          <rPr>
            <b/>
            <sz val="9"/>
            <color indexed="81"/>
            <rFont val="Tahoma"/>
            <family val="2"/>
          </rPr>
          <t>Input or Output</t>
        </r>
      </text>
    </comment>
    <comment ref="J2" authorId="0" shapeId="0">
      <text>
        <r>
          <rPr>
            <b/>
            <sz val="9"/>
            <color indexed="81"/>
            <rFont val="Tahoma"/>
            <family val="2"/>
          </rPr>
          <t>TIP:</t>
        </r>
        <r>
          <rPr>
            <sz val="9"/>
            <color indexed="81"/>
            <rFont val="Tahoma"/>
            <family val="2"/>
          </rPr>
          <t xml:space="preserve">
The vendor group column is to devide the vendor tags into separate groups. In some cases the vendorlist already contains groups of tags, an example could be Main_PLC, BusTie or Aux_PLC.
If such a column exist already in the Vendor list it is a good idea to take advantage of this, by using a formula, like the one already entered in the template row. 
This in a combination with the include column, helps to separate even further.
In other cases you might need to create your own groups.
The groups will then show up in a drop down list in the Simulator mapping to make it easier to connect to the correct tag.
</t>
        </r>
        <r>
          <rPr>
            <b/>
            <sz val="9"/>
            <color indexed="81"/>
            <rFont val="Tahoma"/>
            <family val="2"/>
          </rPr>
          <t>Formula:</t>
        </r>
        <r>
          <rPr>
            <sz val="9"/>
            <color indexed="81"/>
            <rFont val="Tahoma"/>
            <family val="2"/>
          </rPr>
          <t xml:space="preserve">
=IF(NOT(M4="");IF(K4="Yes";M4;"");"")
This formula will check if there is YES in the include column, if it is, it will refer to the value in Cell M4.</t>
        </r>
      </text>
    </comment>
    <comment ref="K2" authorId="0" shapeId="0">
      <text>
        <r>
          <rPr>
            <b/>
            <sz val="9"/>
            <color indexed="81"/>
            <rFont val="Tahoma"/>
            <family val="2"/>
          </rPr>
          <t>TIP:</t>
        </r>
        <r>
          <rPr>
            <sz val="9"/>
            <color indexed="81"/>
            <rFont val="Tahoma"/>
            <family val="2"/>
          </rPr>
          <t xml:space="preserve">
This column should contain the Vendor tag.
</t>
        </r>
        <r>
          <rPr>
            <b/>
            <sz val="9"/>
            <color indexed="81"/>
            <rFont val="Tahoma"/>
            <family val="2"/>
          </rPr>
          <t xml:space="preserve">Formula:
</t>
        </r>
        <r>
          <rPr>
            <sz val="9"/>
            <color indexed="81"/>
            <rFont val="Tahoma"/>
            <family val="2"/>
          </rPr>
          <t>=IF(NOT(N4="");IF(K4="yes";N4;"");"")
This formula checks if Cell N4 is empty, if it is not, it checks if there is Yes in Cell K4, it it is, ir referes to the value of N4.</t>
        </r>
      </text>
    </comment>
    <comment ref="L2" authorId="0" shapeId="0">
      <text>
        <r>
          <rPr>
            <b/>
            <sz val="9"/>
            <color indexed="81"/>
            <rFont val="Tahoma"/>
            <family val="2"/>
          </rPr>
          <t>TIP:</t>
        </r>
        <r>
          <rPr>
            <sz val="9"/>
            <color indexed="81"/>
            <rFont val="Tahoma"/>
            <family val="2"/>
          </rPr>
          <t xml:space="preserve">
Usually the Vendor list contains a column with a more sensible description for the tag.
This column is meant to contain this description.
</t>
        </r>
        <r>
          <rPr>
            <b/>
            <sz val="9"/>
            <color indexed="81"/>
            <rFont val="Tahoma"/>
            <family val="2"/>
          </rPr>
          <t xml:space="preserve">Formula:
</t>
        </r>
        <r>
          <rPr>
            <sz val="9"/>
            <color indexed="81"/>
            <rFont val="Tahoma"/>
            <family val="2"/>
          </rPr>
          <t>=IF(NOT(O4="");O4;"")
This formula only checks if Cell O4 is empty, if it is not, it refers to the value in Cell O4.</t>
        </r>
      </text>
    </comment>
    <comment ref="M2" authorId="1" shapeId="0">
      <text>
        <r>
          <rPr>
            <b/>
            <sz val="9"/>
            <color indexed="81"/>
            <rFont val="Tahoma"/>
            <family val="2"/>
          </rPr>
          <t>Included: YES_x000D_
Not included: Empty or NO</t>
        </r>
      </text>
    </comment>
  </commentList>
</comments>
</file>

<file path=xl/comments4.xml><?xml version="1.0" encoding="utf-8"?>
<comments xmlns="http://schemas.openxmlformats.org/spreadsheetml/2006/main">
  <authors>
    <author>Thuy Huy Nguyen</author>
    <author>Mate Csorba</author>
  </authors>
  <commentList>
    <comment ref="E1" authorId="0" shapeId="0">
      <text>
        <r>
          <rPr>
            <sz val="9"/>
            <color indexed="81"/>
            <rFont val="Tahoma"/>
            <family val="2"/>
          </rPr>
          <t>- Unique identifier for a driver instance.
- Used for assignment of the instance to signals from the vendor signal list.</t>
        </r>
      </text>
    </comment>
    <comment ref="F1" authorId="0" shapeId="0">
      <text>
        <r>
          <rPr>
            <sz val="9"/>
            <color indexed="81"/>
            <rFont val="Tahoma"/>
            <family val="2"/>
          </rPr>
          <t>Enable or disable this driver (TRUE or FALSE)</t>
        </r>
      </text>
    </comment>
    <comment ref="G1"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1"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List>
</comments>
</file>

<file path=xl/comments5.xml><?xml version="1.0" encoding="utf-8"?>
<comments xmlns="http://schemas.openxmlformats.org/spreadsheetml/2006/main">
  <authors>
    <author>Thuy Huy Nguyen</author>
    <author>Mate Csorba</author>
    <author>Mikhail Lindblad</author>
  </authors>
  <commentList>
    <comment ref="E1" authorId="0" shapeId="0">
      <text>
        <r>
          <rPr>
            <sz val="9"/>
            <color indexed="81"/>
            <rFont val="Tahoma"/>
            <family val="2"/>
          </rPr>
          <t>- Unique identifier for a driver instance.
- Used for assignment of the instance to signals from the vendor signal list.</t>
        </r>
      </text>
    </comment>
    <comment ref="F1" authorId="0" shapeId="0">
      <text>
        <r>
          <rPr>
            <sz val="9"/>
            <color indexed="81"/>
            <rFont val="Tahoma"/>
            <family val="2"/>
          </rPr>
          <t>Enable or disable this driver (TRUE or FALSE)</t>
        </r>
      </text>
    </comment>
    <comment ref="G1"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1"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4" authorId="0" shapeId="0">
      <text>
        <r>
          <rPr>
            <sz val="9"/>
            <color indexed="81"/>
            <rFont val="Tahoma"/>
            <family val="2"/>
          </rPr>
          <t>- Unique identifier for a driver instance.
- Used for assignment of the instance to signals from the vendor signal list.</t>
        </r>
      </text>
    </comment>
    <comment ref="F4" authorId="0" shapeId="0">
      <text>
        <r>
          <rPr>
            <sz val="9"/>
            <color indexed="81"/>
            <rFont val="Tahoma"/>
            <family val="2"/>
          </rPr>
          <t>Enable or disable this driver (TRUE or FALSE)</t>
        </r>
      </text>
    </comment>
    <comment ref="G4"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4"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O4" authorId="0" shapeId="0">
      <text>
        <r>
          <rPr>
            <sz val="9"/>
            <color indexed="81"/>
            <rFont val="Tahoma"/>
            <family val="2"/>
          </rPr>
          <t>Even
Odd 
None (Default)</t>
        </r>
      </text>
    </comment>
    <comment ref="E7" authorId="0" shapeId="0">
      <text>
        <r>
          <rPr>
            <sz val="9"/>
            <color indexed="81"/>
            <rFont val="Tahoma"/>
            <family val="2"/>
          </rPr>
          <t>- Unique identifier for a driver instance.
- Used for assignment of the instance to signals from the vendor signal list.</t>
        </r>
      </text>
    </comment>
    <comment ref="F7" authorId="0" shapeId="0">
      <text>
        <r>
          <rPr>
            <sz val="9"/>
            <color indexed="81"/>
            <rFont val="Tahoma"/>
            <family val="2"/>
          </rPr>
          <t>Enable or disable this driver (TRUE or FALSE)</t>
        </r>
      </text>
    </comment>
    <comment ref="G7"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7"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O7" authorId="0" shapeId="0">
      <text>
        <r>
          <rPr>
            <sz val="9"/>
            <color indexed="81"/>
            <rFont val="Tahoma"/>
            <family val="2"/>
          </rPr>
          <t>Even
Odd 
None (Default)</t>
        </r>
      </text>
    </comment>
    <comment ref="E16" authorId="0" shapeId="0">
      <text>
        <r>
          <rPr>
            <sz val="9"/>
            <color indexed="81"/>
            <rFont val="Tahoma"/>
            <family val="2"/>
          </rPr>
          <t>- Unique identifier for a driver instance.
- Used for assignment of the instance to signals from the vendor signal list.</t>
        </r>
      </text>
    </comment>
    <comment ref="F16" authorId="0" shapeId="0">
      <text>
        <r>
          <rPr>
            <sz val="9"/>
            <color indexed="81"/>
            <rFont val="Tahoma"/>
            <family val="2"/>
          </rPr>
          <t>Enable or disable this driver (TRUE or FALSE)</t>
        </r>
      </text>
    </comment>
    <comment ref="G16"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16"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19" authorId="0" shapeId="0">
      <text>
        <r>
          <rPr>
            <sz val="9"/>
            <color indexed="81"/>
            <rFont val="Tahoma"/>
            <family val="2"/>
          </rPr>
          <t>- Unique identifier for a driver instance.
- Used for assignment of the instance to signals from the vendor signal list.</t>
        </r>
      </text>
    </comment>
    <comment ref="F19" authorId="0" shapeId="0">
      <text>
        <r>
          <rPr>
            <sz val="9"/>
            <color indexed="81"/>
            <rFont val="Tahoma"/>
            <family val="2"/>
          </rPr>
          <t>Enable or disable this driver (TRUE or FALSE)</t>
        </r>
      </text>
    </comment>
    <comment ref="G19"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19"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O19" authorId="0" shapeId="0">
      <text>
        <r>
          <rPr>
            <sz val="9"/>
            <color indexed="81"/>
            <rFont val="Tahoma"/>
            <family val="2"/>
          </rPr>
          <t>Even
Odd 
None (Default)</t>
        </r>
      </text>
    </comment>
    <comment ref="E22" authorId="0" shapeId="0">
      <text>
        <r>
          <rPr>
            <sz val="9"/>
            <color indexed="81"/>
            <rFont val="Tahoma"/>
            <family val="2"/>
          </rPr>
          <t>- Unique identifier for a driver instance.
- Used for assignment of the instance to signals from the vendor signal list.</t>
        </r>
      </text>
    </comment>
    <comment ref="F22" authorId="0" shapeId="0">
      <text>
        <r>
          <rPr>
            <sz val="9"/>
            <color indexed="81"/>
            <rFont val="Tahoma"/>
            <family val="2"/>
          </rPr>
          <t>Enable or disable this driver (TRUE or FALSE)</t>
        </r>
      </text>
    </comment>
    <comment ref="G22"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22"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O22" authorId="0" shapeId="0">
      <text>
        <r>
          <rPr>
            <sz val="9"/>
            <color indexed="81"/>
            <rFont val="Tahoma"/>
            <family val="2"/>
          </rPr>
          <t>Even
Odd 
None (Default)</t>
        </r>
      </text>
    </comment>
    <comment ref="E25" authorId="0" shapeId="0">
      <text>
        <r>
          <rPr>
            <sz val="9"/>
            <color indexed="81"/>
            <rFont val="Tahoma"/>
            <family val="2"/>
          </rPr>
          <t>- Unique identifier for a driver instance.
- Used for assignment of the instance to signals from the vendor signal list.</t>
        </r>
      </text>
    </comment>
    <comment ref="F25" authorId="0" shapeId="0">
      <text>
        <r>
          <rPr>
            <sz val="9"/>
            <color indexed="81"/>
            <rFont val="Tahoma"/>
            <family val="2"/>
          </rPr>
          <t>Enable or disable this driver (TRUE or FALSE)</t>
        </r>
      </text>
    </comment>
    <comment ref="G25"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25"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31" authorId="0" shapeId="0">
      <text>
        <r>
          <rPr>
            <sz val="9"/>
            <color indexed="81"/>
            <rFont val="Tahoma"/>
            <family val="2"/>
          </rPr>
          <t>- Unique identifier for a driver instance.
- Used for assignment of the instance to signals from the vendor signal list.</t>
        </r>
      </text>
    </comment>
    <comment ref="F31" authorId="0" shapeId="0">
      <text>
        <r>
          <rPr>
            <sz val="9"/>
            <color indexed="81"/>
            <rFont val="Tahoma"/>
            <family val="2"/>
          </rPr>
          <t>Enable or disable this driver (TRUE or FALSE)</t>
        </r>
      </text>
    </comment>
    <comment ref="G31"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31"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36" authorId="0" shapeId="0">
      <text>
        <r>
          <rPr>
            <sz val="9"/>
            <color indexed="81"/>
            <rFont val="Tahoma"/>
            <family val="2"/>
          </rPr>
          <t>- Unique identifier for a driver instance.
- Used for assignment of the instance to signals from the vendor signal list.</t>
        </r>
      </text>
    </comment>
    <comment ref="F36" authorId="0" shapeId="0">
      <text>
        <r>
          <rPr>
            <sz val="9"/>
            <color indexed="81"/>
            <rFont val="Tahoma"/>
            <family val="2"/>
          </rPr>
          <t>Enable or disable this driver (TRUE or FALSE)</t>
        </r>
      </text>
    </comment>
    <comment ref="G36"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36"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39" authorId="0" shapeId="0">
      <text>
        <r>
          <rPr>
            <sz val="9"/>
            <color indexed="81"/>
            <rFont val="Tahoma"/>
            <family val="2"/>
          </rPr>
          <t>- Unique identifier for a driver instance.
- Used for assignment of the instance to signals from the vendor signal list.</t>
        </r>
      </text>
    </comment>
    <comment ref="F39" authorId="0" shapeId="0">
      <text>
        <r>
          <rPr>
            <sz val="9"/>
            <color indexed="81"/>
            <rFont val="Tahoma"/>
            <family val="2"/>
          </rPr>
          <t>Enable or disable this driver (TRUE or FALSE)</t>
        </r>
      </text>
    </comment>
    <comment ref="G39"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39"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39" authorId="0" shapeId="0">
      <text>
        <r>
          <rPr>
            <sz val="9"/>
            <color indexed="81"/>
            <rFont val="Tahoma"/>
            <family val="2"/>
          </rPr>
          <t xml:space="preserve">SIMBA project path is set up in the column. The Project.XML file is to be located under the folder pointed to. The driver parses the file in order to obtain specific information for every PROFIBUS slave. It calculates process image length (total data length of inputs and outputs) for every PROFIBUS slave and defines which signals have been assigned to the slave. A relative path to this configuration folder can be used. </t>
        </r>
      </text>
    </comment>
    <comment ref="J39" authorId="0" shapeId="0">
      <text>
        <r>
          <rPr>
            <sz val="9"/>
            <color indexed="81"/>
            <rFont val="Tahoma"/>
            <family val="2"/>
          </rPr>
          <t xml:space="preserve">The SIMBAkern.DLL library is to be located in this folder. The driver uses an API interface of the DLL so that it can communicate with the SIMBApro modules. </t>
        </r>
      </text>
    </comment>
    <comment ref="K39" authorId="0" shapeId="0">
      <text>
        <r>
          <rPr>
            <sz val="9"/>
            <color indexed="81"/>
            <rFont val="Tahoma"/>
            <family val="2"/>
          </rPr>
          <t xml:space="preserve">TRUE: start automatically a SIMBA module function.
Default is false. </t>
        </r>
      </text>
    </comment>
    <comment ref="L39" authorId="0" shapeId="0">
      <text>
        <r>
          <rPr>
            <sz val="9"/>
            <color indexed="81"/>
            <rFont val="Tahoma"/>
            <family val="2"/>
          </rPr>
          <t>TRUE: if a SIMBA project is to be loaded automatically to a SIMBA module
FALSE: a project can be loaded manually in SimbaPro before starting the driver instance.
Default is FALSE</t>
        </r>
      </text>
    </comment>
    <comment ref="E42" authorId="0" shapeId="0">
      <text>
        <r>
          <rPr>
            <sz val="9"/>
            <color indexed="81"/>
            <rFont val="Tahoma"/>
            <family val="2"/>
          </rPr>
          <t>- Unique identifier for a driver instance.
- Used for assignment of the instance to signals from the vendor signal list.</t>
        </r>
      </text>
    </comment>
    <comment ref="F42" authorId="0" shapeId="0">
      <text>
        <r>
          <rPr>
            <sz val="9"/>
            <color indexed="81"/>
            <rFont val="Tahoma"/>
            <family val="2"/>
          </rPr>
          <t>Enable or disable this driver (TRUE or FALSE)</t>
        </r>
      </text>
    </comment>
    <comment ref="G42"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42"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42" authorId="0" shapeId="0">
      <text>
        <r>
          <rPr>
            <sz val="9"/>
            <color indexed="81"/>
            <rFont val="Tahoma"/>
            <family val="2"/>
          </rPr>
          <t>Local host PC address</t>
        </r>
      </text>
    </comment>
    <comment ref="J42" authorId="0" shapeId="0">
      <text>
        <r>
          <rPr>
            <sz val="9"/>
            <color indexed="81"/>
            <rFont val="Tahoma"/>
            <family val="2"/>
          </rPr>
          <t>Remote PC address</t>
        </r>
      </text>
    </comment>
    <comment ref="K42" authorId="0" shapeId="0">
      <text>
        <r>
          <rPr>
            <sz val="9"/>
            <color indexed="81"/>
            <rFont val="Tahoma"/>
            <family val="2"/>
          </rPr>
          <t>UDP port where the receiver should listen</t>
        </r>
      </text>
    </comment>
    <comment ref="E45" authorId="0" shapeId="0">
      <text>
        <r>
          <rPr>
            <sz val="9"/>
            <color indexed="81"/>
            <rFont val="Tahoma"/>
            <family val="2"/>
          </rPr>
          <t>- Unique identifier for a driver instance.
- Used for assignment of the instance to signals from the vendor signal list.</t>
        </r>
      </text>
    </comment>
    <comment ref="F45" authorId="0" shapeId="0">
      <text>
        <r>
          <rPr>
            <sz val="9"/>
            <color indexed="81"/>
            <rFont val="Tahoma"/>
            <family val="2"/>
          </rPr>
          <t>Enable or disable this driver (TRUE or FALSE)</t>
        </r>
      </text>
    </comment>
    <comment ref="G45"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45"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45" authorId="0" shapeId="0">
      <text>
        <r>
          <rPr>
            <sz val="9"/>
            <color indexed="81"/>
            <rFont val="Tahoma"/>
            <family val="2"/>
          </rPr>
          <t>Remote PC address</t>
        </r>
      </text>
    </comment>
    <comment ref="J45" authorId="0" shapeId="0">
      <text>
        <r>
          <rPr>
            <sz val="9"/>
            <color indexed="81"/>
            <rFont val="Tahoma"/>
            <family val="2"/>
          </rPr>
          <t>Local host PC address</t>
        </r>
      </text>
    </comment>
    <comment ref="K45" authorId="0" shapeId="0">
      <text>
        <r>
          <rPr>
            <sz val="9"/>
            <color indexed="81"/>
            <rFont val="Tahoma"/>
            <family val="2"/>
          </rPr>
          <t>UDP port where the receiver should listen</t>
        </r>
      </text>
    </comment>
    <comment ref="E48" authorId="0" shapeId="0">
      <text>
        <r>
          <rPr>
            <sz val="9"/>
            <color indexed="81"/>
            <rFont val="Tahoma"/>
            <family val="2"/>
          </rPr>
          <t>- Unique identifier for a driver instance.
- Used for assignment of the instance to signals from the vendor signal list.</t>
        </r>
      </text>
    </comment>
    <comment ref="F48" authorId="0" shapeId="0">
      <text>
        <r>
          <rPr>
            <sz val="9"/>
            <color indexed="81"/>
            <rFont val="Tahoma"/>
            <family val="2"/>
          </rPr>
          <t>Enable or disable this driver (TRUE or FALSE)</t>
        </r>
      </text>
    </comment>
    <comment ref="G48"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48"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48" authorId="0" shapeId="0">
      <text>
        <r>
          <rPr>
            <sz val="9"/>
            <color indexed="81"/>
            <rFont val="Tahoma"/>
            <family val="2"/>
          </rPr>
          <t>Update rate configured in the wave generator</t>
        </r>
      </text>
    </comment>
    <comment ref="D51" authorId="0" shapeId="0">
      <text>
        <r>
          <rPr>
            <sz val="9"/>
            <color indexed="81"/>
            <rFont val="Tahoma"/>
            <family val="2"/>
          </rPr>
          <t>- Unique identifier for a channel.
- Used for assignment of signals from the vendor signal list.</t>
        </r>
      </text>
    </comment>
    <comment ref="E51" authorId="0" shapeId="0">
      <text>
        <r>
          <rPr>
            <sz val="9"/>
            <color indexed="81"/>
            <rFont val="Tahoma"/>
            <family val="2"/>
          </rPr>
          <t>Device name</t>
        </r>
      </text>
    </comment>
    <comment ref="F51" authorId="0" shapeId="0">
      <text>
        <r>
          <rPr>
            <sz val="9"/>
            <color indexed="81"/>
            <rFont val="Tahoma"/>
            <family val="2"/>
          </rPr>
          <t>Channel number on the hardware</t>
        </r>
      </text>
    </comment>
    <comment ref="G51" authorId="0" shapeId="0">
      <text>
        <r>
          <rPr>
            <sz val="9"/>
            <color indexed="81"/>
            <rFont val="Tahoma"/>
            <family val="2"/>
          </rPr>
          <t>Output voltage scale coefficient</t>
        </r>
      </text>
    </comment>
    <comment ref="H51" authorId="0" shapeId="0">
      <text>
        <r>
          <rPr>
            <sz val="9"/>
            <color indexed="81"/>
            <rFont val="Tahoma"/>
            <family val="2"/>
          </rPr>
          <t>Wave output offset</t>
        </r>
      </text>
    </comment>
    <comment ref="I51" authorId="0" shapeId="0">
      <text>
        <r>
          <rPr>
            <sz val="9"/>
            <color indexed="81"/>
            <rFont val="Tahoma"/>
            <family val="2"/>
          </rPr>
          <t>Wave output phase offset</t>
        </r>
      </text>
    </comment>
    <comment ref="E54" authorId="0" shapeId="0">
      <text>
        <r>
          <rPr>
            <sz val="9"/>
            <color indexed="81"/>
            <rFont val="Tahoma"/>
            <family val="2"/>
          </rPr>
          <t>- Unique identifier for a driver instance.
- Used for assignment of the instance to signals from the vendor signal list.</t>
        </r>
      </text>
    </comment>
    <comment ref="F54" authorId="0" shapeId="0">
      <text>
        <r>
          <rPr>
            <sz val="9"/>
            <color indexed="81"/>
            <rFont val="Tahoma"/>
            <family val="2"/>
          </rPr>
          <t>Enable or disable this driver (TRUE or FALSE)</t>
        </r>
      </text>
    </comment>
    <comment ref="G54"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54"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63" authorId="0" shapeId="0">
      <text>
        <r>
          <rPr>
            <sz val="9"/>
            <color indexed="81"/>
            <rFont val="Tahoma"/>
            <family val="2"/>
          </rPr>
          <t>- Unique identifier for a driver instance.
- Used for assignment of the instance to signals from the vendor signal list.</t>
        </r>
      </text>
    </comment>
    <comment ref="F63" authorId="0" shapeId="0">
      <text>
        <r>
          <rPr>
            <sz val="9"/>
            <color indexed="81"/>
            <rFont val="Tahoma"/>
            <family val="2"/>
          </rPr>
          <t>Enable or disable this driver (TRUE or FALSE)</t>
        </r>
      </text>
    </comment>
    <comment ref="G63"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63"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63" authorId="0" shapeId="0">
      <text>
        <r>
          <rPr>
            <sz val="9"/>
            <color indexed="81"/>
            <rFont val="Tahoma"/>
            <family val="2"/>
          </rPr>
          <t>Update rate configured in the OPC server</t>
        </r>
      </text>
    </comment>
    <comment ref="J63" authorId="0" shapeId="0">
      <text>
        <r>
          <rPr>
            <sz val="9"/>
            <color indexed="81"/>
            <rFont val="Tahoma"/>
            <family val="2"/>
          </rPr>
          <t>IP address of OPC server, normally 127.0.0.1, as the OPC server listens on localhost.</t>
        </r>
      </text>
    </comment>
    <comment ref="K63" authorId="0" shapeId="0">
      <text>
        <r>
          <rPr>
            <sz val="9"/>
            <color indexed="81"/>
            <rFont val="Tahoma"/>
            <family val="2"/>
          </rPr>
          <t>Name of the OPC server to connect to</t>
        </r>
      </text>
    </comment>
    <comment ref="L63" authorId="0" shapeId="0">
      <text>
        <r>
          <rPr>
            <sz val="9"/>
            <color indexed="81"/>
            <rFont val="Tahoma"/>
            <family val="2"/>
          </rPr>
          <t>- TRUE: signals are updated by the OPC server (faster).
- FALSE: Read from device directly, signals are updated by the HW (slower).</t>
        </r>
      </text>
    </comment>
    <comment ref="M63" authorId="0" shapeId="0">
      <text>
        <r>
          <rPr>
            <sz val="9"/>
            <color indexed="81"/>
            <rFont val="Tahoma"/>
            <family val="2"/>
          </rPr>
          <t>Select FALSE at the moment, some OPC servers do not support Async</t>
        </r>
      </text>
    </comment>
    <comment ref="A66" authorId="2" shapeId="0">
      <text>
        <r>
          <rPr>
            <sz val="9"/>
            <color indexed="81"/>
            <rFont val="Tahoma"/>
            <family val="2"/>
          </rPr>
          <t>Use this template for a MW project</t>
        </r>
      </text>
    </comment>
    <comment ref="E66" authorId="0" shapeId="0">
      <text>
        <r>
          <rPr>
            <sz val="9"/>
            <color indexed="81"/>
            <rFont val="Tahoma"/>
            <family val="2"/>
          </rPr>
          <t>- Unique identifier for a driver instance.
- Used for assignment of the instance to signals from the vendor signal list.</t>
        </r>
      </text>
    </comment>
    <comment ref="F66" authorId="0" shapeId="0">
      <text>
        <r>
          <rPr>
            <sz val="9"/>
            <color indexed="81"/>
            <rFont val="Tahoma"/>
            <family val="2"/>
          </rPr>
          <t>Enable or disable this driver (TRUE or FALSE)</t>
        </r>
      </text>
    </comment>
    <comment ref="G66"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66"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66" authorId="2" shapeId="0">
      <text>
        <r>
          <rPr>
            <sz val="9"/>
            <color indexed="81"/>
            <rFont val="Tahoma"/>
            <family val="2"/>
          </rPr>
          <t>IP address to connect to</t>
        </r>
      </text>
    </comment>
    <comment ref="J66" authorId="2" shapeId="0">
      <text>
        <r>
          <rPr>
            <sz val="9"/>
            <color indexed="81"/>
            <rFont val="Tahoma"/>
            <family val="2"/>
          </rPr>
          <t>IP port num. to connect to</t>
        </r>
      </text>
    </comment>
    <comment ref="K66" authorId="2" shapeId="0">
      <text>
        <r>
          <rPr>
            <sz val="9"/>
            <color indexed="81"/>
            <rFont val="Tahoma"/>
            <family val="2"/>
          </rPr>
          <t>Retry time for reconnection in sec.</t>
        </r>
      </text>
    </comment>
    <comment ref="L66" authorId="2" shapeId="0">
      <text>
        <r>
          <rPr>
            <sz val="9"/>
            <color indexed="81"/>
            <rFont val="Tahoma"/>
            <family val="2"/>
          </rPr>
          <t>Machine ID of the IPC
(typically last number in IP address)</t>
        </r>
      </text>
    </comment>
    <comment ref="M66" authorId="2" shapeId="0">
      <text>
        <r>
          <rPr>
            <sz val="9"/>
            <color indexed="81"/>
            <rFont val="Tahoma"/>
            <family val="2"/>
          </rPr>
          <t>Sample time of the WinAC control system in milliseconds</t>
        </r>
      </text>
    </comment>
    <comment ref="N66" authorId="2" shapeId="0">
      <text>
        <r>
          <rPr>
            <sz val="9"/>
            <color indexed="81"/>
            <rFont val="Tahoma"/>
            <family val="2"/>
          </rPr>
          <t>Memory offset for 3D data in bytes</t>
        </r>
      </text>
    </comment>
    <comment ref="O66" authorId="2" shapeId="0">
      <text>
        <r>
          <rPr>
            <sz val="9"/>
            <color indexed="81"/>
            <rFont val="Tahoma"/>
            <family val="2"/>
          </rPr>
          <t>Version ID of the configuration</t>
        </r>
      </text>
    </comment>
    <comment ref="A68" authorId="2" shapeId="0">
      <text>
        <r>
          <rPr>
            <sz val="9"/>
            <color indexed="81"/>
            <rFont val="Tahoma"/>
            <family val="2"/>
          </rPr>
          <t>Use this template for an AW project</t>
        </r>
      </text>
    </comment>
    <comment ref="E68" authorId="0" shapeId="0">
      <text>
        <r>
          <rPr>
            <sz val="9"/>
            <color indexed="81"/>
            <rFont val="Tahoma"/>
            <family val="2"/>
          </rPr>
          <t>- Unique identifier for a driver instance.
- Used for assignment of the instance to signals from the vendor signal list.</t>
        </r>
      </text>
    </comment>
    <comment ref="F68" authorId="0" shapeId="0">
      <text>
        <r>
          <rPr>
            <sz val="9"/>
            <color indexed="81"/>
            <rFont val="Tahoma"/>
            <family val="2"/>
          </rPr>
          <t>Enable or disable this driver (TRUE or FALSE)</t>
        </r>
      </text>
    </comment>
    <comment ref="G68"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68"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68" authorId="2" shapeId="0">
      <text>
        <r>
          <rPr>
            <sz val="9"/>
            <color indexed="81"/>
            <rFont val="Tahoma"/>
            <family val="2"/>
          </rPr>
          <t>IP address to connect to</t>
        </r>
      </text>
    </comment>
    <comment ref="J68" authorId="2" shapeId="0">
      <text>
        <r>
          <rPr>
            <sz val="9"/>
            <color indexed="81"/>
            <rFont val="Tahoma"/>
            <family val="2"/>
          </rPr>
          <t>IP port num. to connect to</t>
        </r>
      </text>
    </comment>
    <comment ref="K68" authorId="2" shapeId="0">
      <text>
        <r>
          <rPr>
            <sz val="9"/>
            <color indexed="81"/>
            <rFont val="Tahoma"/>
            <family val="2"/>
          </rPr>
          <t>Retry time for reconnection in sec.</t>
        </r>
      </text>
    </comment>
    <comment ref="L68" authorId="2" shapeId="0">
      <text>
        <r>
          <rPr>
            <sz val="9"/>
            <color indexed="81"/>
            <rFont val="Tahoma"/>
            <family val="2"/>
          </rPr>
          <t>Machine ID of the IPC
(typically last number in IP address)</t>
        </r>
      </text>
    </comment>
    <comment ref="M68" authorId="2" shapeId="0">
      <text>
        <r>
          <rPr>
            <sz val="9"/>
            <color indexed="81"/>
            <rFont val="Tahoma"/>
            <family val="2"/>
          </rPr>
          <t>Sample time of the WinAC control system in milliseconds</t>
        </r>
      </text>
    </comment>
    <comment ref="N68" authorId="2" shapeId="0">
      <text>
        <r>
          <rPr>
            <sz val="9"/>
            <color indexed="81"/>
            <rFont val="Tahoma"/>
            <family val="2"/>
          </rPr>
          <t>Memory offset for 3D data in bytes</t>
        </r>
      </text>
    </comment>
    <comment ref="O68" authorId="2" shapeId="0">
      <text>
        <r>
          <rPr>
            <sz val="9"/>
            <color indexed="81"/>
            <rFont val="Tahoma"/>
            <family val="2"/>
          </rPr>
          <t>Version ID of the configuration</t>
        </r>
      </text>
    </comment>
    <comment ref="E71" authorId="0" shapeId="0">
      <text>
        <r>
          <rPr>
            <sz val="9"/>
            <color indexed="81"/>
            <rFont val="Tahoma"/>
            <family val="2"/>
          </rPr>
          <t>- Unique identifier for a driver instance.
- Used for assignment of the instance to signals from the vendor signal list.</t>
        </r>
      </text>
    </comment>
    <comment ref="F71" authorId="0" shapeId="0">
      <text>
        <r>
          <rPr>
            <sz val="9"/>
            <color indexed="81"/>
            <rFont val="Tahoma"/>
            <family val="2"/>
          </rPr>
          <t>Enable or disable this driver (TRUE or FALSE)</t>
        </r>
      </text>
    </comment>
    <comment ref="G71"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71"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K71" authorId="0" shapeId="0">
      <text>
        <r>
          <rPr>
            <sz val="9"/>
            <color indexed="81"/>
            <rFont val="Tahoma"/>
            <family val="2"/>
          </rPr>
          <t>WAGO rack IP address</t>
        </r>
      </text>
    </comment>
    <comment ref="L71" authorId="0" shapeId="0">
      <text>
        <r>
          <rPr>
            <sz val="9"/>
            <color indexed="81"/>
            <rFont val="Tahoma"/>
            <family val="2"/>
          </rPr>
          <t>Modbus TCP port, default = 502</t>
        </r>
      </text>
    </comment>
    <comment ref="E76" authorId="0" shapeId="0">
      <text>
        <r>
          <rPr>
            <sz val="9"/>
            <color indexed="81"/>
            <rFont val="Tahoma"/>
            <family val="2"/>
          </rPr>
          <t>- Unique identifier for a driver instance.
- Used for assignment of the instance to signals from the vendor signal list.</t>
        </r>
      </text>
    </comment>
    <comment ref="F76" authorId="0" shapeId="0">
      <text>
        <r>
          <rPr>
            <sz val="9"/>
            <color indexed="81"/>
            <rFont val="Tahoma"/>
            <family val="2"/>
          </rPr>
          <t>Enable or disable this driver (TRUE or FALSE)</t>
        </r>
      </text>
    </comment>
    <comment ref="G76"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76"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J76" authorId="0" shapeId="0">
      <text>
        <r>
          <rPr>
            <sz val="9"/>
            <color indexed="81"/>
            <rFont val="Tahoma"/>
            <family val="2"/>
          </rPr>
          <t>- Send: module as a sender only
- Receive: module as a receiver only
- Loop: module as both sender &amp; receiver</t>
        </r>
      </text>
    </comment>
    <comment ref="E79" authorId="0" shapeId="0">
      <text>
        <r>
          <rPr>
            <sz val="9"/>
            <color indexed="81"/>
            <rFont val="Tahoma"/>
            <family val="2"/>
          </rPr>
          <t>- Unique identifier for a driver instance.
- Used for assignment of the instance to signals from the vendor signal list.</t>
        </r>
      </text>
    </comment>
    <comment ref="F79" authorId="0" shapeId="0">
      <text>
        <r>
          <rPr>
            <sz val="9"/>
            <color indexed="81"/>
            <rFont val="Tahoma"/>
            <family val="2"/>
          </rPr>
          <t>Enable or disable this driver (TRUE or FALSE)</t>
        </r>
      </text>
    </comment>
    <comment ref="G79"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79"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J79" authorId="0" shapeId="0">
      <text>
        <r>
          <rPr>
            <sz val="9"/>
            <color indexed="81"/>
            <rFont val="Tahoma"/>
            <family val="2"/>
          </rPr>
          <t>- Send: module as a sender only
- Receive: module as a receiver only
- Loop: module as both sender &amp; receiver</t>
        </r>
      </text>
    </comment>
    <comment ref="P79" authorId="0" shapeId="0">
      <text>
        <r>
          <rPr>
            <sz val="9"/>
            <color indexed="81"/>
            <rFont val="Tahoma"/>
            <family val="2"/>
          </rPr>
          <t>Even
Odd 
None (Default)</t>
        </r>
      </text>
    </comment>
    <comment ref="D82" authorId="0" shapeId="0">
      <text>
        <r>
          <rPr>
            <sz val="9"/>
            <color indexed="81"/>
            <rFont val="Tahoma"/>
            <family val="2"/>
          </rPr>
          <t>Or message name. A telegram is a type of message format for a group of data. One telegram contains a group of signals.</t>
        </r>
      </text>
    </comment>
    <comment ref="E82" authorId="0" shapeId="0">
      <text>
        <r>
          <rPr>
            <sz val="9"/>
            <color indexed="81"/>
            <rFont val="Tahoma"/>
            <family val="2"/>
          </rPr>
          <t xml:space="preserve">Type of protocol, which have the same way of defining message format. One protocol class usually contains several Telegram types.
- NMEA: Standard for interfacing marine electronics devices
- Kongsberg: Kongsberg relative position reference systems protocol
- KOS: Subsea external sensor protocol
- KVH: KVH Industries Inc.
- ADAM-4017: Sensor to computer interface modules
</t>
        </r>
      </text>
    </comment>
    <comment ref="E85" authorId="0" shapeId="0">
      <text>
        <r>
          <rPr>
            <sz val="9"/>
            <color indexed="81"/>
            <rFont val="Tahoma"/>
            <family val="2"/>
          </rPr>
          <t>- Unique identifier for a driver instance.
- Used for assignment of the instance to signals from the vendor signal list.</t>
        </r>
      </text>
    </comment>
    <comment ref="F85" authorId="0" shapeId="0">
      <text>
        <r>
          <rPr>
            <sz val="9"/>
            <color indexed="81"/>
            <rFont val="Tahoma"/>
            <family val="2"/>
          </rPr>
          <t>Enable or disable this driver (TRUE or FALSE)</t>
        </r>
      </text>
    </comment>
    <comment ref="G85"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85"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E90" authorId="0" shapeId="0">
      <text>
        <r>
          <rPr>
            <sz val="9"/>
            <color indexed="81"/>
            <rFont val="Tahoma"/>
            <family val="2"/>
          </rPr>
          <t>- Unique identifier for a driver instance.
- Used for assignment of the instance to signals from the vendor signal list.</t>
        </r>
      </text>
    </comment>
    <comment ref="F90" authorId="0" shapeId="0">
      <text>
        <r>
          <rPr>
            <sz val="9"/>
            <color indexed="81"/>
            <rFont val="Tahoma"/>
            <family val="2"/>
          </rPr>
          <t>Enable or disable this driver (TRUE or FALSE)</t>
        </r>
      </text>
    </comment>
    <comment ref="G90"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90"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D92" authorId="0" shapeId="0">
      <text>
        <r>
          <rPr>
            <sz val="9"/>
            <color indexed="81"/>
            <rFont val="Tahoma"/>
            <family val="2"/>
          </rPr>
          <t>NI device name, modified using Measurement &amp; Automation Explorer, under 'My System\Device and Interface' node</t>
        </r>
      </text>
    </comment>
    <comment ref="E92" authorId="0" shapeId="0">
      <text>
        <r>
          <rPr>
            <sz val="9"/>
            <color indexed="81"/>
            <rFont val="Tahoma"/>
            <family val="2"/>
          </rPr>
          <t>NI device serial number</t>
        </r>
      </text>
    </comment>
    <comment ref="E95" authorId="0" shapeId="0">
      <text>
        <r>
          <rPr>
            <sz val="9"/>
            <color indexed="81"/>
            <rFont val="Tahoma"/>
            <family val="2"/>
          </rPr>
          <t>- Unique identifier for a driver instance.
- Used for assignment of the instance to signals from the vendor signal list.</t>
        </r>
      </text>
    </comment>
    <comment ref="F95" authorId="0" shapeId="0">
      <text>
        <r>
          <rPr>
            <sz val="9"/>
            <color indexed="81"/>
            <rFont val="Tahoma"/>
            <family val="2"/>
          </rPr>
          <t>Enable or disable this driver (TRUE or FALSE)</t>
        </r>
      </text>
    </comment>
    <comment ref="G95"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95"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95" authorId="0" shapeId="0">
      <text>
        <r>
          <rPr>
            <sz val="9"/>
            <color indexed="81"/>
            <rFont val="Tahoma"/>
            <family val="2"/>
          </rPr>
          <t>Local PC address</t>
        </r>
      </text>
    </comment>
    <comment ref="J95" authorId="0" shapeId="0">
      <text>
        <r>
          <rPr>
            <sz val="9"/>
            <color indexed="81"/>
            <rFont val="Tahoma"/>
            <family val="2"/>
          </rPr>
          <t>Remote PC address</t>
        </r>
      </text>
    </comment>
    <comment ref="K95" authorId="0" shapeId="0">
      <text>
        <r>
          <rPr>
            <sz val="9"/>
            <color indexed="81"/>
            <rFont val="Tahoma"/>
            <family val="2"/>
          </rPr>
          <t>UDP port where the receiver should listen</t>
        </r>
      </text>
    </comment>
    <comment ref="E98" authorId="0" shapeId="0">
      <text>
        <r>
          <rPr>
            <sz val="9"/>
            <color indexed="81"/>
            <rFont val="Tahoma"/>
            <family val="2"/>
          </rPr>
          <t>- Unique identifier for a driver instance.
- Used for assignment of the instance to signals from the vendor signal list.</t>
        </r>
      </text>
    </comment>
    <comment ref="F98" authorId="0" shapeId="0">
      <text>
        <r>
          <rPr>
            <sz val="9"/>
            <color indexed="81"/>
            <rFont val="Tahoma"/>
            <family val="2"/>
          </rPr>
          <t>Enable or disable this driver (TRUE or FALSE)</t>
        </r>
      </text>
    </comment>
    <comment ref="G98" authorId="1" shapeId="0">
      <text>
        <r>
          <rPr>
            <sz val="10"/>
            <color indexed="81"/>
            <rFont val="Tahoma"/>
            <family val="2"/>
          </rPr>
          <t>Defines how often simulator outputs are written realtive to simulator step rate. E.g. 5 means every 5th step, i.e. if the simulator runs on 100Hz then outputs will be written with 20Hz.</t>
        </r>
      </text>
    </comment>
    <comment ref="H98" authorId="1" shapeId="0">
      <text>
        <r>
          <rPr>
            <sz val="10"/>
            <color indexed="81"/>
            <rFont val="Tahoma"/>
            <family val="2"/>
          </rPr>
          <t>Defines how often simulator inputs are read realtive to simulator step rate. E.g. 5 means every 5th step, i.e. if the simulator runs on 100Hz then inputs will be read with 20Hz.</t>
        </r>
      </text>
    </comment>
    <comment ref="I98" authorId="0" shapeId="0">
      <text>
        <r>
          <rPr>
            <sz val="9"/>
            <color indexed="81"/>
            <rFont val="Tahoma"/>
            <family val="2"/>
          </rPr>
          <t>Local PC address</t>
        </r>
      </text>
    </comment>
    <comment ref="J98" authorId="0" shapeId="0">
      <text>
        <r>
          <rPr>
            <sz val="9"/>
            <color indexed="81"/>
            <rFont val="Tahoma"/>
            <family val="2"/>
          </rPr>
          <t>Remote PC address</t>
        </r>
      </text>
    </comment>
    <comment ref="K98" authorId="0" shapeId="0">
      <text>
        <r>
          <rPr>
            <sz val="9"/>
            <color indexed="81"/>
            <rFont val="Tahoma"/>
            <family val="2"/>
          </rPr>
          <t>UDP port where the receiver should listen</t>
        </r>
      </text>
    </comment>
  </commentList>
</comments>
</file>

<file path=xl/comments6.xml><?xml version="1.0" encoding="utf-8"?>
<comments xmlns="http://schemas.openxmlformats.org/spreadsheetml/2006/main">
  <authors>
    <author>Trond-Harald Bordewich</author>
    <author>Mikhail Lindblad</author>
  </authors>
  <commentList>
    <comment ref="M1" authorId="0" shapeId="0">
      <text>
        <r>
          <rPr>
            <b/>
            <sz val="9"/>
            <color indexed="81"/>
            <rFont val="Tahoma"/>
            <family val="2"/>
          </rPr>
          <t>TIP:</t>
        </r>
        <r>
          <rPr>
            <sz val="9"/>
            <color indexed="81"/>
            <rFont val="Tahoma"/>
            <family val="2"/>
          </rPr>
          <t xml:space="preserve">
The vendor group column is to devide the vendor tags into separate groups. In some cases the vendorlist already contains groups of tags, an example could be Main_PLC, BusTie or Aux_PLC.
If such a column exist already in the Vendor list it is a good idea to take advantage of this, by using a formula, like the one already entered in the template row. 
This in a combination with the include column, helps to separate even further.
In other cases you might need to create your own groups.
The groups will then show up in a drop down list in the Simulator mapping to make it easier to connect to the correct tag.
</t>
        </r>
        <r>
          <rPr>
            <b/>
            <sz val="9"/>
            <color indexed="81"/>
            <rFont val="Tahoma"/>
            <family val="2"/>
          </rPr>
          <t>Formula:</t>
        </r>
        <r>
          <rPr>
            <sz val="9"/>
            <color indexed="81"/>
            <rFont val="Tahoma"/>
            <family val="2"/>
          </rPr>
          <t xml:space="preserve">
=IF(NOT(M4="");IF(K4="Yes";M4;"");"")
This formula will check if there is YES in the include column, if it is, it will refer to the value in Cell M4.</t>
        </r>
      </text>
    </comment>
    <comment ref="N1" authorId="0" shapeId="0">
      <text>
        <r>
          <rPr>
            <b/>
            <sz val="9"/>
            <color indexed="81"/>
            <rFont val="Tahoma"/>
            <family val="2"/>
          </rPr>
          <t>TIP:</t>
        </r>
        <r>
          <rPr>
            <sz val="9"/>
            <color indexed="81"/>
            <rFont val="Tahoma"/>
            <family val="2"/>
          </rPr>
          <t xml:space="preserve">
This column should contain the Vendor tag.
</t>
        </r>
        <r>
          <rPr>
            <b/>
            <sz val="9"/>
            <color indexed="81"/>
            <rFont val="Tahoma"/>
            <family val="2"/>
          </rPr>
          <t xml:space="preserve">Formula:
</t>
        </r>
        <r>
          <rPr>
            <sz val="9"/>
            <color indexed="81"/>
            <rFont val="Tahoma"/>
            <family val="2"/>
          </rPr>
          <t>=IF(NOT(N4="");IF(K4="yes";N4;"");"")
This formula checks if Cell N4 is empty, if it is not, it checks if there is Yes in Cell K4, it it is, ir referes to the value of N4.</t>
        </r>
      </text>
    </comment>
    <comment ref="O1" authorId="0" shapeId="0">
      <text>
        <r>
          <rPr>
            <b/>
            <sz val="9"/>
            <color indexed="81"/>
            <rFont val="Tahoma"/>
            <family val="2"/>
          </rPr>
          <t>TIP:</t>
        </r>
        <r>
          <rPr>
            <sz val="9"/>
            <color indexed="81"/>
            <rFont val="Tahoma"/>
            <family val="2"/>
          </rPr>
          <t xml:space="preserve">
Usually the Vendor list contains a column with a more sensible description for the tag.
This column is meant to contain this description.
</t>
        </r>
        <r>
          <rPr>
            <b/>
            <sz val="9"/>
            <color indexed="81"/>
            <rFont val="Tahoma"/>
            <family val="2"/>
          </rPr>
          <t xml:space="preserve">Formula:
</t>
        </r>
        <r>
          <rPr>
            <sz val="9"/>
            <color indexed="81"/>
            <rFont val="Tahoma"/>
            <family val="2"/>
          </rPr>
          <t>=IF(NOT(O4="");O4;"")
This formula only checks if Cell O4 is empty, if it is not, it refers to the value in Cell O4.</t>
        </r>
      </text>
    </comment>
    <comment ref="P1" authorId="0" shapeId="0">
      <text>
        <r>
          <rPr>
            <b/>
            <sz val="9"/>
            <color indexed="81"/>
            <rFont val="Tahoma"/>
            <family val="2"/>
          </rPr>
          <t>Tip:</t>
        </r>
        <r>
          <rPr>
            <sz val="9"/>
            <color indexed="81"/>
            <rFont val="Tahoma"/>
            <family val="2"/>
          </rPr>
          <t xml:space="preserve">
The idea with this columns is if a signal is to be used in the simulator, you can mark it of with some value here.
E.G:
Yes: Signal should be included.
No: Signal should not be included.
?: For now uncertain if this signal should be included.
To take advantage of this you might use this result to determine if Vendor Group, Vendor Tag and Vendor Description should have a value by using a formula in the respective cells. 
</t>
        </r>
      </text>
    </comment>
    <comment ref="B2"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2" authorId="0" shapeId="0">
      <text>
        <r>
          <rPr>
            <b/>
            <sz val="9"/>
            <color indexed="81"/>
            <rFont val="Tahoma"/>
            <family val="2"/>
          </rPr>
          <t xml:space="preserve">TIP:
</t>
        </r>
        <r>
          <rPr>
            <sz val="9"/>
            <color indexed="81"/>
            <rFont val="Tahoma"/>
            <family val="2"/>
          </rPr>
          <t xml:space="preserve">
The Modbus node this signal belongs to.
The node name should be found in Driver config</t>
        </r>
      </text>
    </comment>
    <comment ref="D2" authorId="0" shapeId="0">
      <text>
        <r>
          <rPr>
            <b/>
            <sz val="9"/>
            <color indexed="81"/>
            <rFont val="Tahoma"/>
            <family val="2"/>
          </rPr>
          <t xml:space="preserve">TIP:
</t>
        </r>
        <r>
          <rPr>
            <sz val="9"/>
            <color indexed="81"/>
            <rFont val="Tahoma"/>
            <family val="2"/>
          </rPr>
          <t xml:space="preserve">
Modbus area to place signal value. Each area is a separate memory area where digital and analog values are stored.
• 0   (0:xxxxx Coils / Discrete outputs )
• 1   (1:xxxxx Inputs / Discrete inputs)
• 3   (3:xxxxx Input registers)
• 4   (4:xxxxx Holding registers /Output registers)</t>
        </r>
      </text>
    </comment>
    <comment ref="E2" authorId="0" shapeId="0">
      <text>
        <r>
          <rPr>
            <b/>
            <sz val="9"/>
            <color indexed="81"/>
            <rFont val="Tahoma"/>
            <family val="2"/>
          </rPr>
          <t xml:space="preserve">TIP:
</t>
        </r>
        <r>
          <rPr>
            <sz val="9"/>
            <color indexed="81"/>
            <rFont val="Tahoma"/>
            <family val="2"/>
          </rPr>
          <t xml:space="preserve">
Modbus address (Different names may occur)
Range 1 - 65536
According to the "standard, the first address is 1, even though this is transmitted as 0. This has of course caused a lot of trouble, since some manufacturers use 0-based addresses while other use 1-based. This is often not evident from the documentation. In our configuration tools, 1-based addresses are used. The highest address is 65536 (1-based). 
Tip: When configuring Modbus, add a variable that switches between 0-based and 1-based addresses to make it easy to change.          
The different address fields are often concatenated. It is for example not uncommon to say that a value resides on the address 400001 or 40001, when referring to address 1 in area 4. However, 40001 is also a valid address in any of the areas, so it might be an address in any area.
It is not unusual to cram everything together in area 4. If area is not mentioned anywhere, it is quite likely that this is the case.</t>
        </r>
      </text>
    </comment>
    <comment ref="F2" authorId="0" shapeId="0">
      <text>
        <r>
          <rPr>
            <b/>
            <sz val="9"/>
            <color indexed="81"/>
            <rFont val="Tahoma"/>
            <family val="2"/>
          </rPr>
          <t xml:space="preserve">TIP:
</t>
        </r>
        <r>
          <rPr>
            <sz val="9"/>
            <color indexed="81"/>
            <rFont val="Tahoma"/>
            <family val="2"/>
          </rPr>
          <t xml:space="preserve">
Bit number. Used only when bit values are stored in words in area 3 or 4. This shall not be used when bit values are stored in area 0 or 1. Doing so will cause a preprocessor error.
Integer: range 0-15</t>
        </r>
      </text>
    </comment>
    <comment ref="G2" authorId="0" shapeId="0">
      <text>
        <r>
          <rPr>
            <b/>
            <sz val="9"/>
            <color indexed="81"/>
            <rFont val="Tahoma"/>
            <family val="2"/>
          </rPr>
          <t xml:space="preserve">TIP:
</t>
        </r>
        <r>
          <rPr>
            <sz val="9"/>
            <color indexed="81"/>
            <rFont val="Tahoma"/>
            <family val="2"/>
          </rPr>
          <t xml:space="preserve">
Data representation
Only used for non-standard data types with 
size &gt; 1 word (Uint32, Int32, Float).
LittleEndian, BigEndian</t>
        </r>
      </text>
    </comment>
    <comment ref="B5"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5" authorId="0" shapeId="0">
      <text>
        <r>
          <rPr>
            <b/>
            <sz val="9"/>
            <color indexed="81"/>
            <rFont val="Tahoma"/>
            <family val="2"/>
          </rPr>
          <t xml:space="preserve">TIP:
</t>
        </r>
        <r>
          <rPr>
            <sz val="9"/>
            <color indexed="81"/>
            <rFont val="Tahoma"/>
            <family val="2"/>
          </rPr>
          <t xml:space="preserve">
Number of the Profibus bus (channel)
Integer: 0 to 31</t>
        </r>
      </text>
    </comment>
    <comment ref="D5" authorId="0" shapeId="0">
      <text>
        <r>
          <rPr>
            <b/>
            <sz val="9"/>
            <color indexed="81"/>
            <rFont val="Tahoma"/>
            <family val="2"/>
          </rPr>
          <t xml:space="preserve">TIP:
</t>
        </r>
        <r>
          <rPr>
            <sz val="9"/>
            <color indexed="81"/>
            <rFont val="Tahoma"/>
            <family val="2"/>
          </rPr>
          <t xml:space="preserve">
Register address of the SimbaPro signal
Integer: 0 to 16384
Read the file MC-06-10-CFG Configuration Procedure for CyberSea SimbaPro Slave Communication module (server P:\CyberSea\Documents\Approved Documents\06 - Communication) to understand about the addressing </t>
        </r>
      </text>
    </comment>
    <comment ref="E5" authorId="0" shapeId="0">
      <text>
        <r>
          <rPr>
            <b/>
            <sz val="9"/>
            <color indexed="81"/>
            <rFont val="Tahoma"/>
            <family val="2"/>
          </rPr>
          <t xml:space="preserve">TIP:
</t>
        </r>
        <r>
          <rPr>
            <sz val="9"/>
            <color indexed="81"/>
            <rFont val="Tahoma"/>
            <family val="2"/>
          </rPr>
          <t xml:space="preserve">
Bit number of the signal if applicable
Integer: 0 to 7</t>
        </r>
      </text>
    </comment>
    <comment ref="B8"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8" authorId="0" shapeId="0">
      <text>
        <r>
          <rPr>
            <b/>
            <sz val="9"/>
            <color indexed="81"/>
            <rFont val="Tahoma"/>
            <family val="2"/>
          </rPr>
          <t xml:space="preserve">TIP:
</t>
        </r>
        <r>
          <rPr>
            <sz val="9"/>
            <color indexed="81"/>
            <rFont val="Tahoma"/>
            <family val="2"/>
          </rPr>
          <t xml:space="preserve">
PDO name should be found in Driver config.</t>
        </r>
      </text>
    </comment>
    <comment ref="D8" authorId="0" shapeId="0">
      <text>
        <r>
          <rPr>
            <b/>
            <sz val="9"/>
            <color indexed="81"/>
            <rFont val="Tahoma"/>
            <family val="2"/>
          </rPr>
          <t xml:space="preserve">TIP:
</t>
        </r>
        <r>
          <rPr>
            <sz val="9"/>
            <color indexed="81"/>
            <rFont val="Tahoma"/>
            <family val="2"/>
          </rPr>
          <t xml:space="preserve">
Integer: 0 - 63</t>
        </r>
      </text>
    </comment>
    <comment ref="E8" authorId="0" shapeId="0">
      <text>
        <r>
          <rPr>
            <b/>
            <sz val="9"/>
            <color indexed="81"/>
            <rFont val="Tahoma"/>
            <family val="2"/>
          </rPr>
          <t xml:space="preserve">TIP:
</t>
        </r>
        <r>
          <rPr>
            <sz val="9"/>
            <color indexed="81"/>
            <rFont val="Tahoma"/>
            <family val="2"/>
          </rPr>
          <t xml:space="preserve">
Integer: 1 - 64</t>
        </r>
      </text>
    </comment>
    <comment ref="F8" authorId="0" shapeId="0">
      <text>
        <r>
          <rPr>
            <b/>
            <sz val="9"/>
            <color indexed="81"/>
            <rFont val="Tahoma"/>
            <family val="2"/>
          </rPr>
          <t xml:space="preserve">TIP:
</t>
        </r>
        <r>
          <rPr>
            <sz val="9"/>
            <color indexed="81"/>
            <rFont val="Tahoma"/>
            <family val="2"/>
          </rPr>
          <t xml:space="preserve">
Valid values:
LittleEndian, BigEndian, ""</t>
        </r>
      </text>
    </comment>
    <comment ref="B11"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11" authorId="0" shapeId="0">
      <text>
        <r>
          <rPr>
            <b/>
            <sz val="9"/>
            <color indexed="81"/>
            <rFont val="Tahoma"/>
            <family val="2"/>
          </rPr>
          <t xml:space="preserve">TIP:
</t>
        </r>
        <r>
          <rPr>
            <sz val="9"/>
            <color indexed="81"/>
            <rFont val="Tahoma"/>
            <family val="2"/>
          </rPr>
          <t xml:space="preserve">
Integer value</t>
        </r>
      </text>
    </comment>
    <comment ref="B14"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14" authorId="0" shapeId="0">
      <text>
        <r>
          <rPr>
            <b/>
            <sz val="9"/>
            <color indexed="81"/>
            <rFont val="Tahoma"/>
            <family val="2"/>
          </rPr>
          <t xml:space="preserve">TIP:
</t>
        </r>
        <r>
          <rPr>
            <sz val="9"/>
            <color indexed="81"/>
            <rFont val="Tahoma"/>
            <family val="2"/>
          </rPr>
          <t xml:space="preserve">
Channel name should be found in Driver config</t>
        </r>
      </text>
    </comment>
    <comment ref="D14" authorId="0" shapeId="0">
      <text>
        <r>
          <rPr>
            <b/>
            <sz val="9"/>
            <color indexed="81"/>
            <rFont val="Tahoma"/>
            <family val="2"/>
          </rPr>
          <t xml:space="preserve">TIP:
</t>
        </r>
        <r>
          <rPr>
            <sz val="9"/>
            <color indexed="81"/>
            <rFont val="Tahoma"/>
            <family val="2"/>
          </rPr>
          <t xml:space="preserve">
Valid values:
Amplitude, Frequency, Phase, GainCalibration, OffsetCalibration, PhaseCalibration</t>
        </r>
      </text>
    </comment>
    <comment ref="B17"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17" authorId="0" shapeId="0">
      <text>
        <r>
          <rPr>
            <b/>
            <sz val="9"/>
            <color indexed="81"/>
            <rFont val="Tahoma"/>
            <family val="2"/>
          </rPr>
          <t xml:space="preserve">TIP:
</t>
        </r>
        <r>
          <rPr>
            <sz val="9"/>
            <color indexed="81"/>
            <rFont val="Tahoma"/>
            <family val="2"/>
          </rPr>
          <t xml:space="preserve">
String value</t>
        </r>
      </text>
    </comment>
    <comment ref="D17" authorId="0" shapeId="0">
      <text>
        <r>
          <rPr>
            <b/>
            <sz val="9"/>
            <color indexed="81"/>
            <rFont val="Tahoma"/>
            <family val="2"/>
          </rPr>
          <t xml:space="preserve">TIP:
</t>
        </r>
        <r>
          <rPr>
            <sz val="9"/>
            <color indexed="81"/>
            <rFont val="Tahoma"/>
            <family val="2"/>
          </rPr>
          <t xml:space="preserve">
Integer: -1 ... 15 
(-1 do not need conversion)</t>
        </r>
      </text>
    </comment>
    <comment ref="B20"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B23"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23" authorId="1" shapeId="0">
      <text>
        <r>
          <rPr>
            <sz val="9"/>
            <color indexed="81"/>
            <rFont val="Tahoma"/>
            <family val="2"/>
          </rPr>
          <t>The Signal ID is autogenerated and don't need to be filled up.</t>
        </r>
      </text>
    </comment>
    <comment ref="D23" authorId="1" shapeId="0">
      <text>
        <r>
          <rPr>
            <sz val="9"/>
            <color indexed="81"/>
            <rFont val="Tahoma"/>
            <family val="2"/>
          </rPr>
          <t>Byte offset of signal.
Formula example:
=IF(NOT(INDIRECT("U"&amp;ROW())="");(IF(H6="Output";MID(AB6; SEARCH(".";AB6;1)+1; 4);MID(AC6; SEARCH(".";AC6;1)+1; 4)));"0")</t>
        </r>
      </text>
    </comment>
    <comment ref="E23" authorId="1" shapeId="0">
      <text>
        <r>
          <rPr>
            <sz val="9"/>
            <color indexed="81"/>
            <rFont val="Tahoma"/>
            <family val="2"/>
          </rPr>
          <t>Bit offset of signal, if bit type.
Formula example:
=IF(INDIRECT("U"&amp;ROW())="bit";(IF(H6="Output";RIGHT(AB6; 1);RIGHT(AC6; 1)));"0")</t>
        </r>
      </text>
    </comment>
    <comment ref="F23" authorId="1" shapeId="0">
      <text>
        <r>
          <rPr>
            <sz val="9"/>
            <color indexed="81"/>
            <rFont val="Tahoma"/>
            <family val="2"/>
          </rPr>
          <t>3D data or not (1/0)</t>
        </r>
      </text>
    </comment>
    <comment ref="B26" authorId="0" shapeId="0">
      <text>
        <r>
          <rPr>
            <b/>
            <sz val="9"/>
            <color indexed="81"/>
            <rFont val="Tahoma"/>
            <family val="2"/>
          </rPr>
          <t xml:space="preserve">TIP:
</t>
        </r>
        <r>
          <rPr>
            <sz val="9"/>
            <color indexed="81"/>
            <rFont val="Tahoma"/>
            <family val="2"/>
          </rPr>
          <t xml:space="preserve">
WAGO rack assingment.
The WAGO rack name should be preconfigured on the WAGO racks worksheet.</t>
        </r>
      </text>
    </comment>
    <comment ref="C26" authorId="1" shapeId="0">
      <text>
        <r>
          <rPr>
            <b/>
            <sz val="9"/>
            <color indexed="81"/>
            <rFont val="Tahoma"/>
            <family val="2"/>
          </rPr>
          <t xml:space="preserve">TIP:
</t>
        </r>
        <r>
          <rPr>
            <sz val="9"/>
            <color indexed="81"/>
            <rFont val="Tahoma"/>
            <family val="2"/>
          </rPr>
          <t xml:space="preserve">
WAGO signal assignment.
The WAGO tag should be preconfigured on the WAGO racks worksheet.</t>
        </r>
        <r>
          <rPr>
            <sz val="9"/>
            <color indexed="81"/>
            <rFont val="Tahoma"/>
            <family val="2"/>
          </rPr>
          <t xml:space="preserve">
</t>
        </r>
      </text>
    </comment>
    <comment ref="B29"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29" authorId="0" shapeId="0">
      <text>
        <r>
          <rPr>
            <b/>
            <sz val="9"/>
            <color indexed="81"/>
            <rFont val="Tahoma"/>
            <family val="2"/>
          </rPr>
          <t xml:space="preserve">TIP:
</t>
        </r>
        <r>
          <rPr>
            <sz val="9"/>
            <color indexed="81"/>
            <rFont val="Tahoma"/>
            <family val="2"/>
          </rPr>
          <t xml:space="preserve">
Protocol class name (e.g. NMEA)</t>
        </r>
      </text>
    </comment>
    <comment ref="B32"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32" authorId="0" shapeId="0">
      <text>
        <r>
          <rPr>
            <b/>
            <sz val="9"/>
            <color indexed="81"/>
            <rFont val="Tahoma"/>
            <family val="2"/>
          </rPr>
          <t xml:space="preserve">TIP:
</t>
        </r>
        <r>
          <rPr>
            <sz val="9"/>
            <color indexed="81"/>
            <rFont val="Tahoma"/>
            <family val="2"/>
          </rPr>
          <t xml:space="preserve">
The Modbus node this signal belongs to.
The node name should be found in Driver config</t>
        </r>
      </text>
    </comment>
    <comment ref="D32" authorId="0" shapeId="0">
      <text>
        <r>
          <rPr>
            <b/>
            <sz val="9"/>
            <color indexed="81"/>
            <rFont val="Tahoma"/>
            <family val="2"/>
          </rPr>
          <t xml:space="preserve">TIP:
</t>
        </r>
        <r>
          <rPr>
            <sz val="9"/>
            <color indexed="81"/>
            <rFont val="Tahoma"/>
            <family val="2"/>
          </rPr>
          <t xml:space="preserve">
Modbus area to place signal value. Each area is a separate memory area where digital and analog values are stored.
• 0   (0:xxxxx Coils / Discrete outputs )
• 1   (1:xxxxx Inputs / Discrete inputs)
• 3   (3:xxxxx Input registers)
• 4   (4:xxxxx Holding registers /Output registers)</t>
        </r>
      </text>
    </comment>
    <comment ref="E32" authorId="0" shapeId="0">
      <text>
        <r>
          <rPr>
            <b/>
            <sz val="9"/>
            <color indexed="81"/>
            <rFont val="Tahoma"/>
            <family val="2"/>
          </rPr>
          <t xml:space="preserve">TIP:
</t>
        </r>
        <r>
          <rPr>
            <sz val="9"/>
            <color indexed="81"/>
            <rFont val="Tahoma"/>
            <family val="2"/>
          </rPr>
          <t xml:space="preserve">
Modbus address (Different names may occur)
Range 1 - 65536
According to the "standard, the first address is 1, even though this is transmitted as 0. This has of course caused a lot of trouble, since some manufacturers use 0-based addresses while other use 1-based. This is often not evident from the documentation. In our configuration tools, 1-based addresses are used. The highest address is 65536 (1-based). 
Tip: When configuring Modbus, add a variable that switches between 0-based and 1-based addresses to make it easy to change.          
The different address fields are often concatenated. It is for example not uncommon to say that a value resides on the address 400001 or 40001, when referring to address 1 in area 4. However, 40001 is also a valid address in any of the areas, so it might be an address in any area.
It is not unusual to cram everything together in area 4. If area is not mentioned anywhere, it is quite likely that this is the case.</t>
        </r>
      </text>
    </comment>
    <comment ref="F32" authorId="0" shapeId="0">
      <text>
        <r>
          <rPr>
            <b/>
            <sz val="9"/>
            <color indexed="81"/>
            <rFont val="Tahoma"/>
            <family val="2"/>
          </rPr>
          <t xml:space="preserve">TIP:
</t>
        </r>
        <r>
          <rPr>
            <sz val="9"/>
            <color indexed="81"/>
            <rFont val="Tahoma"/>
            <family val="2"/>
          </rPr>
          <t xml:space="preserve">
Bit number. Used only when bit values are stored in words in area 3 or 4. This shall not be used when bit values are stored in area 0 or 1. Doing so will cause a preprocessor error.
Integer: range 0-15</t>
        </r>
      </text>
    </comment>
    <comment ref="G32" authorId="0" shapeId="0">
      <text>
        <r>
          <rPr>
            <b/>
            <sz val="9"/>
            <color indexed="81"/>
            <rFont val="Tahoma"/>
            <family val="2"/>
          </rPr>
          <t xml:space="preserve">TIP:
</t>
        </r>
        <r>
          <rPr>
            <sz val="9"/>
            <color indexed="81"/>
            <rFont val="Tahoma"/>
            <family val="2"/>
          </rPr>
          <t xml:space="preserve">
Data representation
Only used for non-standard data types with 
size &gt; 1 word (Uint32, Int32, Float).
LittleEndian, BigEndian</t>
        </r>
      </text>
    </comment>
    <comment ref="B35"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35" authorId="0" shapeId="0">
      <text>
        <r>
          <rPr>
            <b/>
            <sz val="9"/>
            <color indexed="81"/>
            <rFont val="Tahoma"/>
            <family val="2"/>
          </rPr>
          <t xml:space="preserve">TIP:
</t>
        </r>
        <r>
          <rPr>
            <sz val="9"/>
            <color indexed="81"/>
            <rFont val="Tahoma"/>
            <family val="2"/>
          </rPr>
          <t xml:space="preserve">
The NI-DAQ device this signal belongs to.
The Device name should be found in Driver config</t>
        </r>
      </text>
    </comment>
    <comment ref="D35" authorId="0" shapeId="0">
      <text>
        <r>
          <rPr>
            <b/>
            <sz val="9"/>
            <color indexed="81"/>
            <rFont val="Tahoma"/>
            <family val="2"/>
          </rPr>
          <t xml:space="preserve">TIP:
</t>
        </r>
        <r>
          <rPr>
            <sz val="9"/>
            <color indexed="81"/>
            <rFont val="Tahoma"/>
            <family val="2"/>
          </rPr>
          <t>In case of a digital channel is this specifies the PORT number. Individual bits within a port have to be set up.</t>
        </r>
      </text>
    </comment>
    <comment ref="E35" authorId="0" shapeId="0">
      <text>
        <r>
          <rPr>
            <b/>
            <sz val="9"/>
            <color indexed="81"/>
            <rFont val="Tahoma"/>
            <family val="2"/>
          </rPr>
          <t xml:space="preserve">TIP:
</t>
        </r>
        <r>
          <rPr>
            <sz val="9"/>
            <color indexed="81"/>
            <rFont val="Tahoma"/>
            <family val="2"/>
          </rPr>
          <t xml:space="preserve">
NI-DAQ card channel number
If a digital channel is used this field specifies the BIT address.
If an analog channel is used this field specifies the actual analog CHANNEL.
</t>
        </r>
      </text>
    </comment>
    <comment ref="F35" authorId="0" shapeId="0">
      <text>
        <r>
          <rPr>
            <b/>
            <sz val="9"/>
            <color indexed="81"/>
            <rFont val="Tahoma"/>
            <family val="2"/>
          </rPr>
          <t xml:space="preserve">TIP:
</t>
        </r>
        <r>
          <rPr>
            <sz val="9"/>
            <color indexed="81"/>
            <rFont val="Tahoma"/>
            <family val="2"/>
          </rPr>
          <t xml:space="preserve">
Bit number. Used only when bit values are stored in words in area 3 or 4. This shall not be used when bit values are stored in area 0 or 1. Doing so will cause a preprocessor error.
Integer: range 0-15</t>
        </r>
      </text>
    </comment>
    <comment ref="G35" authorId="0" shapeId="0">
      <text>
        <r>
          <rPr>
            <b/>
            <sz val="9"/>
            <color indexed="81"/>
            <rFont val="Tahoma"/>
            <family val="2"/>
          </rPr>
          <t xml:space="preserve">TIP:
</t>
        </r>
        <r>
          <rPr>
            <sz val="9"/>
            <color indexed="81"/>
            <rFont val="Tahoma"/>
            <family val="2"/>
          </rPr>
          <t xml:space="preserve">
Data representation
Only used for non-standard data types with 
size &gt; 1 word (Uint32, Int32, Float).
LittleEndian, BigEndian</t>
        </r>
      </text>
    </comment>
    <comment ref="B38" authorId="0" shapeId="0">
      <text>
        <r>
          <rPr>
            <b/>
            <sz val="9"/>
            <color indexed="81"/>
            <rFont val="Tahoma"/>
            <family val="2"/>
          </rPr>
          <t xml:space="preserve">TIP:
</t>
        </r>
        <r>
          <rPr>
            <sz val="9"/>
            <color indexed="81"/>
            <rFont val="Tahoma"/>
            <family val="2"/>
          </rPr>
          <t xml:space="preserve">
The instance name of the selected driver. 
The name should be found in Driver config.</t>
        </r>
      </text>
    </comment>
    <comment ref="C38" authorId="0" shapeId="0">
      <text>
        <r>
          <rPr>
            <b/>
            <sz val="9"/>
            <color indexed="81"/>
            <rFont val="Tahoma"/>
            <family val="2"/>
          </rPr>
          <t xml:space="preserve">TIP:
</t>
        </r>
        <r>
          <rPr>
            <sz val="9"/>
            <color indexed="81"/>
            <rFont val="Tahoma"/>
            <family val="2"/>
          </rPr>
          <t xml:space="preserve">
Integer value</t>
        </r>
      </text>
    </comment>
  </commentList>
</comments>
</file>

<file path=xl/comments7.xml><?xml version="1.0" encoding="utf-8"?>
<comments xmlns="http://schemas.openxmlformats.org/spreadsheetml/2006/main">
  <authors>
    <author>Per Aaslid</author>
  </authors>
  <commentList>
    <comment ref="C1" authorId="0" shapeId="0">
      <text>
        <r>
          <rPr>
            <b/>
            <sz val="9"/>
            <color indexed="81"/>
            <rFont val="Tahoma"/>
            <family val="2"/>
          </rPr>
          <t>1=holding
2=guiding
3=elevator
4=shaft
5=sliding surface</t>
        </r>
      </text>
    </comment>
    <comment ref="D1" authorId="0" shapeId="0">
      <text>
        <r>
          <rPr>
            <b/>
            <sz val="9"/>
            <color indexed="81"/>
            <rFont val="Tahoma"/>
            <family val="2"/>
          </rPr>
          <t>Location visible in 3D</t>
        </r>
      </text>
    </comment>
    <comment ref="G1" authorId="0" shapeId="0">
      <text>
        <r>
          <rPr>
            <b/>
            <sz val="9"/>
            <color indexed="81"/>
            <rFont val="Tahoma"/>
            <family val="2"/>
          </rPr>
          <t>Initial position of location</t>
        </r>
      </text>
    </comment>
    <comment ref="I1" authorId="0" shapeId="0">
      <text>
        <r>
          <rPr>
            <b/>
            <sz val="9"/>
            <color indexed="81"/>
            <rFont val="Tahoma"/>
            <family val="2"/>
          </rPr>
          <t>Vector defining span of sliding surface location. Sliding surface starts in position and end in position+vector. Only used for sliding surfaces.</t>
        </r>
      </text>
    </comment>
    <comment ref="M1" authorId="0" shapeId="0">
      <text>
        <r>
          <rPr>
            <b/>
            <sz val="9"/>
            <color indexed="81"/>
            <rFont val="Tahoma"/>
            <family val="2"/>
          </rPr>
          <t>Select which PC the machine using the location is on.</t>
        </r>
      </text>
    </comment>
    <comment ref="N1" authorId="0" shapeId="0">
      <text>
        <r>
          <rPr>
            <b/>
            <sz val="9"/>
            <color indexed="81"/>
            <rFont val="Tahoma"/>
            <family val="2"/>
          </rPr>
          <t>Select which module the location should be connected to.</t>
        </r>
      </text>
    </comment>
  </commentList>
</comments>
</file>

<file path=xl/comments8.xml><?xml version="1.0" encoding="utf-8"?>
<comments xmlns="http://schemas.openxmlformats.org/spreadsheetml/2006/main">
  <authors>
    <author>Per Aaslid</author>
  </authors>
  <commentList>
    <comment ref="B2" authorId="0" shapeId="0">
      <text>
        <r>
          <rPr>
            <b/>
            <sz val="9"/>
            <color indexed="81"/>
            <rFont val="Tahoma"/>
            <family val="2"/>
          </rPr>
          <t>0 = drill pipe
1 = drill collar
2 = casing
3 = riser</t>
        </r>
      </text>
    </comment>
    <comment ref="E2" authorId="0" shapeId="0">
      <text>
        <r>
          <rPr>
            <b/>
            <sz val="9"/>
            <color indexed="81"/>
            <rFont val="Tahoma"/>
            <family val="2"/>
          </rPr>
          <t>m, in, ft, yd</t>
        </r>
      </text>
    </comment>
    <comment ref="H2" authorId="0" shapeId="0">
      <text>
        <r>
          <rPr>
            <b/>
            <sz val="9"/>
            <color indexed="81"/>
            <rFont val="Tahoma"/>
            <family val="2"/>
          </rPr>
          <t>m, in, ft, yd</t>
        </r>
      </text>
    </comment>
    <comment ref="J2" authorId="0" shapeId="0">
      <text>
        <r>
          <rPr>
            <b/>
            <sz val="9"/>
            <color indexed="81"/>
            <rFont val="Tahoma"/>
            <family val="2"/>
          </rPr>
          <t>kg, lb, mt</t>
        </r>
      </text>
    </comment>
  </commentList>
</comments>
</file>

<file path=xl/comments9.xml><?xml version="1.0" encoding="utf-8"?>
<comments xmlns="http://schemas.openxmlformats.org/spreadsheetml/2006/main">
  <authors>
    <author>Per Aaslid</author>
  </authors>
  <commentList>
    <comment ref="B2" authorId="0" shapeId="0">
      <text>
        <r>
          <rPr>
            <b/>
            <sz val="9"/>
            <color indexed="81"/>
            <rFont val="Tahoma"/>
            <family val="2"/>
          </rPr>
          <t>0=square
1=circular</t>
        </r>
      </text>
    </comment>
    <comment ref="S2" authorId="0" shapeId="0">
      <text>
        <r>
          <rPr>
            <b/>
            <sz val="9"/>
            <color indexed="81"/>
            <rFont val="Tahoma"/>
            <family val="2"/>
          </rPr>
          <t>Index from PDM pipe type setup</t>
        </r>
      </text>
    </comment>
  </commentList>
</comments>
</file>

<file path=xl/sharedStrings.xml><?xml version="1.0" encoding="utf-8"?>
<sst xmlns="http://schemas.openxmlformats.org/spreadsheetml/2006/main" count="3105" uniqueCount="778">
  <si>
    <t>Simulator signal type</t>
  </si>
  <si>
    <t>Data Type</t>
  </si>
  <si>
    <t>Interface technology</t>
  </si>
  <si>
    <t>Bit</t>
  </si>
  <si>
    <t>Enable</t>
  </si>
  <si>
    <t>Instance name</t>
  </si>
  <si>
    <t>DLL name</t>
  </si>
  <si>
    <t>Set data multiple</t>
  </si>
  <si>
    <t>Get data multiple</t>
  </si>
  <si>
    <t>Scaling method</t>
  </si>
  <si>
    <t>Instance num</t>
  </si>
  <si>
    <t>Type</t>
  </si>
  <si>
    <t>Instance</t>
  </si>
  <si>
    <t>File name Simba</t>
  </si>
  <si>
    <t>Redundancy/failsafe</t>
  </si>
  <si>
    <t>Direction</t>
  </si>
  <si>
    <t>SimbaPro</t>
  </si>
  <si>
    <t>SimbaPro path</t>
  </si>
  <si>
    <t>Col 1</t>
  </si>
  <si>
    <t>Col 2</t>
  </si>
  <si>
    <t>Col 3</t>
  </si>
  <si>
    <t>Col 4</t>
  </si>
  <si>
    <t>Col 5</t>
  </si>
  <si>
    <t>Col 6</t>
  </si>
  <si>
    <t>Col 7</t>
  </si>
  <si>
    <t>Col 8</t>
  </si>
  <si>
    <t>Col 9</t>
  </si>
  <si>
    <t>Col 10</t>
  </si>
  <si>
    <t>Col 11</t>
  </si>
  <si>
    <t>Col 12</t>
  </si>
  <si>
    <t>Col 13</t>
  </si>
  <si>
    <t>Col 14</t>
  </si>
  <si>
    <t>Col 15</t>
  </si>
  <si>
    <t>Col 16</t>
  </si>
  <si>
    <t>Col 17</t>
  </si>
  <si>
    <t>Col 18</t>
  </si>
  <si>
    <t>Col 19</t>
  </si>
  <si>
    <t>Col 20</t>
  </si>
  <si>
    <t>Col 21</t>
  </si>
  <si>
    <t>Col 22</t>
  </si>
  <si>
    <t>Col 23</t>
  </si>
  <si>
    <t>Col 24</t>
  </si>
  <si>
    <t>Col 25</t>
  </si>
  <si>
    <t>Col 26</t>
  </si>
  <si>
    <t>Col 27</t>
  </si>
  <si>
    <t>Col 28</t>
  </si>
  <si>
    <t>Col 29</t>
  </si>
  <si>
    <t>Col 30</t>
  </si>
  <si>
    <t>Col 31</t>
  </si>
  <si>
    <t>Col 32</t>
  </si>
  <si>
    <t>Col 33</t>
  </si>
  <si>
    <t>Col 34</t>
  </si>
  <si>
    <t>Col 35</t>
  </si>
  <si>
    <t>Excel signal ID</t>
  </si>
  <si>
    <t>Project signal list assign.</t>
  </si>
  <si>
    <t>ParT contr. (X)</t>
  </si>
  <si>
    <t>Nonzero ParT initial value</t>
  </si>
  <si>
    <t>Input failure mode (A or D)</t>
  </si>
  <si>
    <t>Project signal list row</t>
  </si>
  <si>
    <t>Input signal vector element</t>
  </si>
  <si>
    <t>Output signal vector element</t>
  </si>
  <si>
    <t>PLC connection 1</t>
  </si>
  <si>
    <t>PLC connection 2</t>
  </si>
  <si>
    <t>Group</t>
  </si>
  <si>
    <t>Generic signal description</t>
  </si>
  <si>
    <t>Generic signal tag</t>
  </si>
  <si>
    <t>HIL simulator tag</t>
  </si>
  <si>
    <t>Project signal description</t>
  </si>
  <si>
    <t>Wago channel ID</t>
  </si>
  <si>
    <t>IO Value 1 (defines scale/bias)</t>
  </si>
  <si>
    <t>IO Value 2 (defines scale/bias)</t>
  </si>
  <si>
    <t>Simulator Value 1 (defines scale/bias)</t>
  </si>
  <si>
    <t>Simulator Value 2 (defines scale/bias)</t>
  </si>
  <si>
    <t>IO Saturation</t>
  </si>
  <si>
    <t>IO Saturation limit low</t>
  </si>
  <si>
    <t>IO Saturation limit high</t>
  </si>
  <si>
    <t>PMS HIL adress 1</t>
  </si>
  <si>
    <t>PMS HIL adress 2</t>
  </si>
  <si>
    <t>PMS HIL adress 3</t>
  </si>
  <si>
    <t>PMS HIL adress 4</t>
  </si>
  <si>
    <t>PMS HIL adress 5</t>
  </si>
  <si>
    <t>PMS HIL adress 6</t>
  </si>
  <si>
    <t>PMS HIL adress 7</t>
  </si>
  <si>
    <t>PMS HIL adress 8</t>
  </si>
  <si>
    <t>PMS HIL adress 9</t>
  </si>
  <si>
    <t>PMS HIL adress 10</t>
  </si>
  <si>
    <t>Error message</t>
  </si>
  <si>
    <t>Col 36</t>
  </si>
  <si>
    <t>Col 37</t>
  </si>
  <si>
    <t>Col 38</t>
  </si>
  <si>
    <t>Timeout [ms]</t>
  </si>
  <si>
    <t>IP address</t>
  </si>
  <si>
    <t>TCP port</t>
  </si>
  <si>
    <t>Modbus_slave</t>
  </si>
  <si>
    <t>TCP</t>
  </si>
  <si>
    <t>127.0.0.1</t>
  </si>
  <si>
    <t>Com port #</t>
  </si>
  <si>
    <t>Baud rate</t>
  </si>
  <si>
    <t>Data bits</t>
  </si>
  <si>
    <t>Stop bits</t>
  </si>
  <si>
    <t>Parity</t>
  </si>
  <si>
    <t>RS485 mode</t>
  </si>
  <si>
    <t>ASCII</t>
  </si>
  <si>
    <t>None</t>
  </si>
  <si>
    <t>RTU</t>
  </si>
  <si>
    <t>Node name</t>
  </si>
  <si>
    <t>Slave address</t>
  </si>
  <si>
    <t>Memory_model</t>
  </si>
  <si>
    <t>Standard</t>
  </si>
  <si>
    <t>Area 0 offset</t>
  </si>
  <si>
    <t>Area 1 offset</t>
  </si>
  <si>
    <t>Area 3 offset</t>
  </si>
  <si>
    <t>Area 4 offset</t>
  </si>
  <si>
    <t>SharedMemory</t>
  </si>
  <si>
    <t>Modbus_master</t>
  </si>
  <si>
    <t>RS485 Timeout [ms]</t>
  </si>
  <si>
    <t>RTU over TCP</t>
  </si>
  <si>
    <t>Cont. addr. Space</t>
  </si>
  <si>
    <t>Polling interval [ms]</t>
  </si>
  <si>
    <t>Read Reg. #</t>
  </si>
  <si>
    <t>Read Inp. #</t>
  </si>
  <si>
    <t>Write Reg. #</t>
  </si>
  <si>
    <t>Read Coils #</t>
  </si>
  <si>
    <t>Read Disc. #</t>
  </si>
  <si>
    <t>Write Coils #</t>
  </si>
  <si>
    <t>Test_driver</t>
  </si>
  <si>
    <t>test1</t>
  </si>
  <si>
    <t>Sender IP Address</t>
  </si>
  <si>
    <t>Receiver IP Address</t>
  </si>
  <si>
    <t>Receiver Port</t>
  </si>
  <si>
    <t>MaxSizeUDP [bytes]</t>
  </si>
  <si>
    <t>Internal_communication</t>
  </si>
  <si>
    <t>Sender</t>
  </si>
  <si>
    <t>Receiver</t>
  </si>
  <si>
    <t>Sample rate</t>
  </si>
  <si>
    <t>Waveform_generator</t>
  </si>
  <si>
    <t>Channel name</t>
  </si>
  <si>
    <t>Device</t>
  </si>
  <si>
    <t>Channel number</t>
  </si>
  <si>
    <t>Scale</t>
  </si>
  <si>
    <t>Offset</t>
  </si>
  <si>
    <t>Phase offset</t>
  </si>
  <si>
    <t>Dev1</t>
  </si>
  <si>
    <t>Hardware id</t>
  </si>
  <si>
    <t>Bitrate</t>
  </si>
  <si>
    <t>azimuth</t>
  </si>
  <si>
    <t>HW221310</t>
  </si>
  <si>
    <t>PDO name</t>
  </si>
  <si>
    <t>Extended id</t>
  </si>
  <si>
    <t>CAN id</t>
  </si>
  <si>
    <t>Data length</t>
  </si>
  <si>
    <t>Event triggered</t>
  </si>
  <si>
    <t>Cycle time</t>
  </si>
  <si>
    <t>TPDO1</t>
  </si>
  <si>
    <t>0x400</t>
  </si>
  <si>
    <t>RPDO2</t>
  </si>
  <si>
    <t>0x401</t>
  </si>
  <si>
    <t>Modbus slave, TCP</t>
  </si>
  <si>
    <t>Modbus slave, ASCII</t>
  </si>
  <si>
    <t>Modbus slave, RTU</t>
  </si>
  <si>
    <t>Modbus slave node, standard mem-model</t>
  </si>
  <si>
    <t>Node</t>
  </si>
  <si>
    <t>Modbus slave node, shared mem-model</t>
  </si>
  <si>
    <t>Modbus master, TCP</t>
  </si>
  <si>
    <t>Modbus master, ASCII</t>
  </si>
  <si>
    <t>Modbus master, RTU</t>
  </si>
  <si>
    <t>Modbus master, RTU over TCP</t>
  </si>
  <si>
    <t>Modbus master node</t>
  </si>
  <si>
    <t>Test driver</t>
  </si>
  <si>
    <t>Internal Communication Sender</t>
  </si>
  <si>
    <t>Internal Communication Receiver</t>
  </si>
  <si>
    <t>Waveform generation</t>
  </si>
  <si>
    <t>Waveform generation channel</t>
  </si>
  <si>
    <t>Channel</t>
  </si>
  <si>
    <t>TPDO</t>
  </si>
  <si>
    <t>RPDO</t>
  </si>
  <si>
    <t>ModBUS</t>
  </si>
  <si>
    <t>Internal communication</t>
  </si>
  <si>
    <t>Waveform Generator</t>
  </si>
  <si>
    <t>Address</t>
  </si>
  <si>
    <t>Profibus address</t>
  </si>
  <si>
    <t>Can start bit</t>
  </si>
  <si>
    <t>Can number of bits</t>
  </si>
  <si>
    <t>Data representation</t>
  </si>
  <si>
    <t>Transmission ID</t>
  </si>
  <si>
    <t>Modbus node</t>
  </si>
  <si>
    <t>SimbaPro channel</t>
  </si>
  <si>
    <t>Endian</t>
  </si>
  <si>
    <t>OPC</t>
  </si>
  <si>
    <t>OPC Item</t>
  </si>
  <si>
    <t>Bit address</t>
  </si>
  <si>
    <t>ID</t>
  </si>
  <si>
    <t>Vendor group</t>
  </si>
  <si>
    <t>Vendor tag</t>
  </si>
  <si>
    <t>Vendor description</t>
  </si>
  <si>
    <t>State if a signal should be used</t>
  </si>
  <si>
    <t>VendorLookupHeaders:</t>
  </si>
  <si>
    <t>OPC Client</t>
  </si>
  <si>
    <t>Requested update rate [ms]</t>
  </si>
  <si>
    <t>OPC server address</t>
  </si>
  <si>
    <t>OPC server name</t>
  </si>
  <si>
    <t>Read cache</t>
  </si>
  <si>
    <t>DoAsync</t>
  </si>
  <si>
    <t>OPC_Slave</t>
  </si>
  <si>
    <t>server1</t>
  </si>
  <si>
    <t>Modbus area</t>
  </si>
  <si>
    <t>ProfibusSlave</t>
  </si>
  <si>
    <t>LoadProject</t>
  </si>
  <si>
    <t>CycleTime [ms]</t>
  </si>
  <si>
    <t>MCTCP Client</t>
  </si>
  <si>
    <t>Server IP address</t>
  </si>
  <si>
    <t>Server IP port</t>
  </si>
  <si>
    <t>Reconnect time [s]</t>
  </si>
  <si>
    <t>MachineID</t>
  </si>
  <si>
    <t>Offset3D</t>
  </si>
  <si>
    <t>VersionID</t>
  </si>
  <si>
    <t>TCPClient</t>
  </si>
  <si>
    <t>MCTCPClient</t>
  </si>
  <si>
    <t>PMS-HIL address 1</t>
  </si>
  <si>
    <t>PMS-HIL address 2</t>
  </si>
  <si>
    <t>PMS-HIL address 3</t>
  </si>
  <si>
    <t>PMS-HIL address 4</t>
  </si>
  <si>
    <t>PMS-HIL address 5</t>
  </si>
  <si>
    <t>PMS-HIL address 6</t>
  </si>
  <si>
    <t>ByteOffset</t>
  </si>
  <si>
    <t>BitOffset</t>
  </si>
  <si>
    <t>Is3DSignal</t>
  </si>
  <si>
    <t>Signal ID</t>
  </si>
  <si>
    <t>127.0.0.2</t>
  </si>
  <si>
    <t>WAGO</t>
  </si>
  <si>
    <t>This page defines the different WAGO modules used</t>
  </si>
  <si>
    <t>Wago type</t>
  </si>
  <si>
    <t>Wago Signal type</t>
  </si>
  <si>
    <t>HIL Tag</t>
  </si>
  <si>
    <t>WAGO Module</t>
  </si>
  <si>
    <t>WAGO Module Channel</t>
  </si>
  <si>
    <t>Modbus  value min</t>
  </si>
  <si>
    <t>Modbus value max</t>
  </si>
  <si>
    <t>Physical value min</t>
  </si>
  <si>
    <t>Physical value max</t>
  </si>
  <si>
    <t>Physical unit</t>
  </si>
  <si>
    <t>Modbus data type</t>
  </si>
  <si>
    <t>Actual Modbus address</t>
  </si>
  <si>
    <t>DI</t>
  </si>
  <si>
    <t>-</t>
  </si>
  <si>
    <t>AI</t>
  </si>
  <si>
    <t>mA</t>
  </si>
  <si>
    <t>Int16</t>
  </si>
  <si>
    <t>V</t>
  </si>
  <si>
    <t>DO</t>
  </si>
  <si>
    <t>AO</t>
  </si>
  <si>
    <t>Vendor signal</t>
  </si>
  <si>
    <t>WAGO master</t>
  </si>
  <si>
    <t>WAGO node</t>
  </si>
  <si>
    <t>WAGO - Terminal</t>
  </si>
  <si>
    <t>WAGO type</t>
  </si>
  <si>
    <t>Area 0 address counter (DO)</t>
  </si>
  <si>
    <t>Area 1 address counter (DI)</t>
  </si>
  <si>
    <t>Area 3 address counter (AI)</t>
  </si>
  <si>
    <t>Area 4 address counter (AO)</t>
  </si>
  <si>
    <t>WAGO+ Terminal</t>
  </si>
  <si>
    <t>Signal type</t>
  </si>
  <si>
    <t>rack1</t>
  </si>
  <si>
    <t>WAGO rack</t>
  </si>
  <si>
    <t>WAGO tag</t>
  </si>
  <si>
    <t>Rack name</t>
  </si>
  <si>
    <t>Tag name</t>
  </si>
  <si>
    <t>WinACStepSize</t>
  </si>
  <si>
    <t>ASCII driver</t>
  </si>
  <si>
    <t>Server</t>
  </si>
  <si>
    <t>Local IP address</t>
  </si>
  <si>
    <t>Local IP port</t>
  </si>
  <si>
    <t>Remote IP address</t>
  </si>
  <si>
    <t>UDP</t>
  </si>
  <si>
    <t>GPS1</t>
  </si>
  <si>
    <t>Loop</t>
  </si>
  <si>
    <t>Connect timeout [ms]</t>
  </si>
  <si>
    <t>Serial</t>
  </si>
  <si>
    <t>Telegram name</t>
  </si>
  <si>
    <t>Protocol class</t>
  </si>
  <si>
    <t>Telegram</t>
  </si>
  <si>
    <t>Remote IP Port</t>
  </si>
  <si>
    <t>Set / Get data multiple</t>
  </si>
  <si>
    <t>GGA</t>
  </si>
  <si>
    <t>NMEA</t>
  </si>
  <si>
    <t>ASCII_protocol</t>
  </si>
  <si>
    <t>Field name</t>
  </si>
  <si>
    <t>KMOS</t>
  </si>
  <si>
    <r>
      <t xml:space="preserve">8 DI 750-430
</t>
    </r>
    <r>
      <rPr>
        <sz val="8"/>
        <rFont val="Arial"/>
        <family val="2"/>
      </rPr>
      <t>(24VDC)</t>
    </r>
  </si>
  <si>
    <r>
      <t xml:space="preserve">16 DI 750-1400
</t>
    </r>
    <r>
      <rPr>
        <sz val="8"/>
        <rFont val="Arial"/>
        <family val="2"/>
      </rPr>
      <t>(24VDC)</t>
    </r>
  </si>
  <si>
    <r>
      <t xml:space="preserve">4 AI  750-455
</t>
    </r>
    <r>
      <rPr>
        <sz val="8"/>
        <rFont val="Arial"/>
        <family val="2"/>
      </rPr>
      <t>(4-20mA SE)</t>
    </r>
  </si>
  <si>
    <r>
      <t xml:space="preserve">4 AI  750-457
</t>
    </r>
    <r>
      <rPr>
        <sz val="8"/>
        <rFont val="Arial"/>
        <family val="2"/>
      </rPr>
      <t>(±10V SE)</t>
    </r>
  </si>
  <si>
    <r>
      <t xml:space="preserve">2 AI 750-467
</t>
    </r>
    <r>
      <rPr>
        <sz val="8"/>
        <rFont val="Arial"/>
        <family val="2"/>
      </rPr>
      <t>(0-10V SE)</t>
    </r>
  </si>
  <si>
    <r>
      <t xml:space="preserve">8 DO 750-530
</t>
    </r>
    <r>
      <rPr>
        <sz val="8"/>
        <rFont val="Arial"/>
        <family val="2"/>
      </rPr>
      <t>(24VDC)</t>
    </r>
  </si>
  <si>
    <r>
      <t xml:space="preserve">16 DO 750-1500
</t>
    </r>
    <r>
      <rPr>
        <sz val="8"/>
        <rFont val="Arial"/>
        <family val="2"/>
      </rPr>
      <t>(24VDC)</t>
    </r>
  </si>
  <si>
    <r>
      <t xml:space="preserve">4 AO 750-553
</t>
    </r>
    <r>
      <rPr>
        <sz val="8"/>
        <rFont val="Arial"/>
        <family val="2"/>
      </rPr>
      <t>(0-20mA)</t>
    </r>
  </si>
  <si>
    <r>
      <t xml:space="preserve">4 AO 750-555
</t>
    </r>
    <r>
      <rPr>
        <sz val="8"/>
        <rFont val="Arial"/>
        <family val="2"/>
      </rPr>
      <t>(4-20mA)</t>
    </r>
  </si>
  <si>
    <r>
      <t xml:space="preserve">2 AI 750-452
</t>
    </r>
    <r>
      <rPr>
        <sz val="8"/>
        <rFont val="Arial"/>
        <family val="2"/>
      </rPr>
      <t>(0-20mA DIFF.)</t>
    </r>
  </si>
  <si>
    <r>
      <t xml:space="preserve">2 AI 750-454
</t>
    </r>
    <r>
      <rPr>
        <sz val="8"/>
        <rFont val="Arial"/>
        <family val="2"/>
      </rPr>
      <t>(4-20mA DIFF.)</t>
    </r>
  </si>
  <si>
    <r>
      <t xml:space="preserve">2 AO 750-552
</t>
    </r>
    <r>
      <rPr>
        <sz val="8"/>
        <rFont val="Arial"/>
        <family val="2"/>
      </rPr>
      <t>(0-20mA)</t>
    </r>
  </si>
  <si>
    <r>
      <t xml:space="preserve">4 AI  750-453
</t>
    </r>
    <r>
      <rPr>
        <sz val="8"/>
        <rFont val="Arial"/>
        <family val="2"/>
      </rPr>
      <t>(0-20mA SE)</t>
    </r>
  </si>
  <si>
    <r>
      <t xml:space="preserve">2 AI 750-477
</t>
    </r>
    <r>
      <rPr>
        <sz val="8"/>
        <rFont val="Arial"/>
        <family val="2"/>
      </rPr>
      <t>(0-10V DIFF.)</t>
    </r>
  </si>
  <si>
    <r>
      <t xml:space="preserve">4 AI  750-459
</t>
    </r>
    <r>
      <rPr>
        <sz val="8"/>
        <rFont val="Arial"/>
        <family val="2"/>
      </rPr>
      <t>(0-10V SE)</t>
    </r>
  </si>
  <si>
    <r>
      <t xml:space="preserve">4 AO 750-557
</t>
    </r>
    <r>
      <rPr>
        <sz val="8"/>
        <rFont val="Arial"/>
        <family val="2"/>
      </rPr>
      <t>(±10V)</t>
    </r>
  </si>
  <si>
    <r>
      <t xml:space="preserve">2 AI 750-456
</t>
    </r>
    <r>
      <rPr>
        <sz val="8"/>
        <rFont val="Arial"/>
        <family val="2"/>
      </rPr>
      <t>(±10V DIFF.)</t>
    </r>
  </si>
  <si>
    <r>
      <t xml:space="preserve">2 AO 750-554
</t>
    </r>
    <r>
      <rPr>
        <sz val="8"/>
        <rFont val="Arial"/>
        <family val="2"/>
      </rPr>
      <t>(4-20mA)</t>
    </r>
  </si>
  <si>
    <r>
      <t xml:space="preserve">4 DI 750-433
</t>
    </r>
    <r>
      <rPr>
        <sz val="8"/>
        <rFont val="Arial"/>
        <family val="2"/>
      </rPr>
      <t>(24VDC, 0.2ms)</t>
    </r>
  </si>
  <si>
    <r>
      <t xml:space="preserve">4 DI 750-432
</t>
    </r>
    <r>
      <rPr>
        <sz val="8"/>
        <rFont val="Arial"/>
        <family val="2"/>
      </rPr>
      <t>(24VDC, 3.0 ms)</t>
    </r>
  </si>
  <si>
    <t>2+</t>
  </si>
  <si>
    <t>6+</t>
  </si>
  <si>
    <t>3+</t>
  </si>
  <si>
    <t>7+</t>
  </si>
  <si>
    <t>WAGO+ Terminal
(Signal)</t>
  </si>
  <si>
    <t>WAGO- Terminal
(COMM)</t>
  </si>
  <si>
    <r>
      <t xml:space="preserve">4 DI 750-415
</t>
    </r>
    <r>
      <rPr>
        <sz val="8"/>
        <rFont val="Arial"/>
        <family val="2"/>
      </rPr>
      <t>(24 AC/DC)</t>
    </r>
  </si>
  <si>
    <r>
      <t xml:space="preserve">4 DO 750-531
</t>
    </r>
    <r>
      <rPr>
        <sz val="8"/>
        <rFont val="Arial"/>
        <family val="2"/>
      </rPr>
      <t>(24VDC)</t>
    </r>
  </si>
  <si>
    <t>di1</t>
  </si>
  <si>
    <t>di2</t>
  </si>
  <si>
    <t>di3</t>
  </si>
  <si>
    <t>di4</t>
  </si>
  <si>
    <t>mbTcpSlave</t>
  </si>
  <si>
    <t>mbAscSlave</t>
  </si>
  <si>
    <t>mbRtuSlave</t>
  </si>
  <si>
    <t>mbTcpMaster</t>
  </si>
  <si>
    <t>mbAscMaster</t>
  </si>
  <si>
    <t>mbRtuMaster</t>
  </si>
  <si>
    <t>mbRtuTcpMaster</t>
  </si>
  <si>
    <t>pbSlave</t>
  </si>
  <si>
    <t>intComSend</t>
  </si>
  <si>
    <t>intComRecv</t>
  </si>
  <si>
    <t>waveGen</t>
  </si>
  <si>
    <t>G1Voltage</t>
  </si>
  <si>
    <t>opcClient</t>
  </si>
  <si>
    <t>mcTcpClient_mw</t>
  </si>
  <si>
    <t>mcTcpClient_aw</t>
  </si>
  <si>
    <t>Suffix</t>
  </si>
  <si>
    <t>NIDAQ Driver</t>
  </si>
  <si>
    <t>NIDAQ_driver</t>
  </si>
  <si>
    <t>nidaqdriver</t>
  </si>
  <si>
    <t>NIDAQ Driver device</t>
  </si>
  <si>
    <t>Device name</t>
  </si>
  <si>
    <t>DAC Device S/N</t>
  </si>
  <si>
    <t>Update rate [ms]</t>
  </si>
  <si>
    <t>TestDevice</t>
  </si>
  <si>
    <t>1816A55</t>
  </si>
  <si>
    <t>NIDAQ</t>
  </si>
  <si>
    <t>Port</t>
  </si>
  <si>
    <t>Internal Communication Auto</t>
  </si>
  <si>
    <t>intComAuto</t>
  </si>
  <si>
    <t>PDM</t>
  </si>
  <si>
    <t>Hz</t>
  </si>
  <si>
    <t>Location name</t>
  </si>
  <si>
    <t>Location type</t>
  </si>
  <si>
    <t>Show in 3D</t>
  </si>
  <si>
    <t>X position</t>
  </si>
  <si>
    <t>Y position</t>
  </si>
  <si>
    <t>Z position</t>
  </si>
  <si>
    <t>X vector</t>
  </si>
  <si>
    <t>Y vector</t>
  </si>
  <si>
    <t>Z vector</t>
  </si>
  <si>
    <t>PC</t>
  </si>
  <si>
    <t>Module</t>
  </si>
  <si>
    <t>TopDrive_Shaft</t>
  </si>
  <si>
    <t>PC01</t>
  </si>
  <si>
    <t>TopDrive_Elevator</t>
  </si>
  <si>
    <t>PC02</t>
  </si>
  <si>
    <t>Hydraracker_Guide</t>
  </si>
  <si>
    <t>Catwalk_SlidingSurface</t>
  </si>
  <si>
    <t>PC03</t>
  </si>
  <si>
    <t>Index</t>
  </si>
  <si>
    <t>Pipe length</t>
  </si>
  <si>
    <t>Box height</t>
  </si>
  <si>
    <t>Length/ height unit</t>
  </si>
  <si>
    <t>Pipe diameter</t>
  </si>
  <si>
    <t>Box diameter</t>
  </si>
  <si>
    <t>Diameter unit</t>
  </si>
  <si>
    <t>Weight</t>
  </si>
  <si>
    <t>Weight unit</t>
  </si>
  <si>
    <t>Spinning torque</t>
  </si>
  <si>
    <t>Max number of rotations</t>
  </si>
  <si>
    <t>m</t>
  </si>
  <si>
    <t>in</t>
  </si>
  <si>
    <t>kg</t>
  </si>
  <si>
    <t>Fingerboards</t>
  </si>
  <si>
    <t>Fingerboard rows</t>
  </si>
  <si>
    <t>Center X [m]</t>
  </si>
  <si>
    <t>Center Y [m]</t>
  </si>
  <si>
    <t>Center Z [m]</t>
  </si>
  <si>
    <t>Extension X [m]</t>
  </si>
  <si>
    <t>Extension Y [m]</t>
  </si>
  <si>
    <t>Height [m]</t>
  </si>
  <si>
    <t>Radius [m]</t>
  </si>
  <si>
    <t>Rotation [deg]</t>
  </si>
  <si>
    <t>Number of rows</t>
  </si>
  <si>
    <t>Max locations in row</t>
  </si>
  <si>
    <t>Fingerboard index</t>
  </si>
  <si>
    <t>Distance from center X</t>
  </si>
  <si>
    <t>Distance from center Y</t>
  </si>
  <si>
    <t>Location spacing</t>
  </si>
  <si>
    <t>Number of locations</t>
  </si>
  <si>
    <t>Pipe index</t>
  </si>
  <si>
    <t>Number of pipes in stand</t>
  </si>
  <si>
    <t>Location in row with initial stands</t>
  </si>
  <si>
    <t>1,2,3,4,5,6,7</t>
  </si>
  <si>
    <t>1,2,3,4,5,6</t>
  </si>
  <si>
    <t>pc01</t>
  </si>
  <si>
    <t>mt</t>
  </si>
  <si>
    <t>External position</t>
  </si>
  <si>
    <t>External Vector</t>
  </si>
  <si>
    <t>Pipe Type</t>
  </si>
  <si>
    <t>PowerSlips</t>
  </si>
  <si>
    <t>Location1 name</t>
  </si>
  <si>
    <t>Position1 from bottom of pipe</t>
  </si>
  <si>
    <t>Location2 name</t>
  </si>
  <si>
    <t>Position2 from bottom of pipe</t>
  </si>
  <si>
    <t>Location3 name</t>
  </si>
  <si>
    <t>Position3 from bottom of pipe</t>
  </si>
  <si>
    <t>Pipe types</t>
  </si>
  <si>
    <t>Pipe initial positions</t>
  </si>
  <si>
    <t>TopDrive_Clamps</t>
  </si>
  <si>
    <t>Bool</t>
  </si>
  <si>
    <t>Location types</t>
  </si>
  <si>
    <t>Yes</t>
  </si>
  <si>
    <t>No</t>
  </si>
  <si>
    <t>Holding</t>
  </si>
  <si>
    <t>Guiding</t>
  </si>
  <si>
    <t>Elevator</t>
  </si>
  <si>
    <t>Shaft</t>
  </si>
  <si>
    <t>SlidingSurface</t>
  </si>
  <si>
    <t>DrillPipe</t>
  </si>
  <si>
    <t>DrillCollar</t>
  </si>
  <si>
    <t>Riser</t>
  </si>
  <si>
    <t>Casing</t>
  </si>
  <si>
    <t>Length units</t>
  </si>
  <si>
    <t>Weight units</t>
  </si>
  <si>
    <t>ft</t>
  </si>
  <si>
    <t>yd</t>
  </si>
  <si>
    <t>lb</t>
  </si>
  <si>
    <t>Fingerboard types</t>
  </si>
  <si>
    <t>Square</t>
  </si>
  <si>
    <t>Circular</t>
  </si>
  <si>
    <t>C:\Program Files\SIMBApro PATH</t>
  </si>
  <si>
    <t>C:\Projects\PROJECT PATH\Configuration\test.spf</t>
  </si>
  <si>
    <t>CANbus</t>
  </si>
  <si>
    <t>CANbus_driver</t>
  </si>
  <si>
    <t>CANbus, TPDO</t>
  </si>
  <si>
    <t>CANbus, RPDO</t>
  </si>
  <si>
    <t>(1-2)</t>
  </si>
  <si>
    <t>Ohm</t>
  </si>
  <si>
    <t>(5-6)</t>
  </si>
  <si>
    <r>
      <t xml:space="preserve">2 AI 750-461/
</t>
    </r>
    <r>
      <rPr>
        <sz val="10"/>
        <rFont val="Arial"/>
        <family val="2"/>
      </rPr>
      <t>000-002(R:10-1K2)</t>
    </r>
  </si>
  <si>
    <r>
      <t xml:space="preserve">2 AI 750-461/
</t>
    </r>
    <r>
      <rPr>
        <sz val="10"/>
        <rFont val="Arial"/>
        <family val="2"/>
      </rPr>
      <t>000-007(R:10-5K)</t>
    </r>
  </si>
  <si>
    <t>NOT SUPPORTED</t>
  </si>
  <si>
    <t>pulseCtrl</t>
  </si>
  <si>
    <t>pulseFreq</t>
  </si>
  <si>
    <t>Input status data</t>
  </si>
  <si>
    <t>no. of pulse</t>
  </si>
  <si>
    <t>reserved</t>
  </si>
  <si>
    <t>no evaluation</t>
  </si>
  <si>
    <t>must be 0</t>
  </si>
  <si>
    <t>node1</t>
  </si>
  <si>
    <t>node</t>
  </si>
  <si>
    <t>wagoRack</t>
  </si>
  <si>
    <t>Ethernet coupler
750-352</t>
  </si>
  <si>
    <t>Ethernet coupler
750-341</t>
  </si>
  <si>
    <r>
      <t xml:space="preserve">PO 750-511/000-001
</t>
    </r>
    <r>
      <rPr>
        <sz val="8"/>
        <rFont val="Arial"/>
        <family val="2"/>
      </rPr>
      <t>(24V, Pulse Width Out)</t>
    </r>
    <r>
      <rPr>
        <b/>
        <sz val="10"/>
        <rFont val="Arial"/>
        <family val="2"/>
      </rPr>
      <t xml:space="preserve">
Output control data</t>
    </r>
  </si>
  <si>
    <r>
      <t xml:space="preserve">2 DO 750-517
</t>
    </r>
    <r>
      <rPr>
        <sz val="8"/>
        <rFont val="Arial"/>
        <family val="2"/>
      </rPr>
      <t>(RELAY - NO, NC)</t>
    </r>
  </si>
  <si>
    <r>
      <t xml:space="preserve">2 DO 750-513
</t>
    </r>
    <r>
      <rPr>
        <sz val="8"/>
        <rFont val="Arial"/>
        <family val="2"/>
      </rPr>
      <t>(RELAY - NO)</t>
    </r>
  </si>
  <si>
    <r>
      <t xml:space="preserve">ENC 750-634
</t>
    </r>
    <r>
      <rPr>
        <sz val="8"/>
        <rFont val="Arial"/>
        <family val="2"/>
      </rPr>
      <t>(24V, Inc. Encoder Interf.)</t>
    </r>
    <r>
      <rPr>
        <b/>
        <sz val="10"/>
        <rFont val="Arial"/>
        <family val="2"/>
      </rPr>
      <t xml:space="preserve">
Output control data</t>
    </r>
  </si>
  <si>
    <t>encCtrl</t>
  </si>
  <si>
    <t>encSetVal</t>
  </si>
  <si>
    <t>encStatus</t>
  </si>
  <si>
    <t>encCntVal</t>
  </si>
  <si>
    <t>encPeriod</t>
  </si>
  <si>
    <t>period</t>
  </si>
  <si>
    <t>count</t>
  </si>
  <si>
    <t>status</t>
  </si>
  <si>
    <t>enable update</t>
  </si>
  <si>
    <t>A-1, B-2, C-7</t>
  </si>
  <si>
    <t>GND-5,6</t>
  </si>
  <si>
    <t>Input data</t>
  </si>
  <si>
    <t>Modbus slave, UDP</t>
  </si>
  <si>
    <t>mbUdpSlave</t>
  </si>
  <si>
    <t>Virtual signals</t>
  </si>
  <si>
    <t>Mapping to Vendor signal list</t>
  </si>
  <si>
    <t>Scaling</t>
  </si>
  <si>
    <t>Saturation</t>
  </si>
  <si>
    <t>Composed tag</t>
  </si>
  <si>
    <t>Simulator module</t>
  </si>
  <si>
    <t>Simulator signal</t>
  </si>
  <si>
    <t>Default value</t>
  </si>
  <si>
    <t>Vendor group (X)</t>
  </si>
  <si>
    <t>Vendor tag (Y)</t>
  </si>
  <si>
    <t>Vendor description (Z)</t>
  </si>
  <si>
    <t>IO-Value 1</t>
  </si>
  <si>
    <t>IO-Value 2</t>
  </si>
  <si>
    <t>Simulator value 1</t>
  </si>
  <si>
    <t>Simulator value 2</t>
  </si>
  <si>
    <t>Saturation limit low</t>
  </si>
  <si>
    <t>Saturation limit high</t>
  </si>
  <si>
    <t>Imported signals</t>
  </si>
  <si>
    <t>Vector Element</t>
  </si>
  <si>
    <t>Direction simulator</t>
  </si>
  <si>
    <t>ModBus</t>
  </si>
  <si>
    <t>Simulator tag</t>
  </si>
  <si>
    <t>IO system</t>
  </si>
  <si>
    <t>From vendor list</t>
  </si>
  <si>
    <t>Lookup (used by mapping sheets)</t>
  </si>
  <si>
    <t>Included</t>
  </si>
  <si>
    <t>Data type</t>
  </si>
  <si>
    <t>Signal included</t>
  </si>
  <si>
    <t>Vendor List</t>
  </si>
  <si>
    <t>ch1</t>
  </si>
  <si>
    <t>FailureMode</t>
  </si>
  <si>
    <t>PulseWidth</t>
  </si>
  <si>
    <t>PulseCount</t>
  </si>
  <si>
    <t>ch2</t>
  </si>
  <si>
    <t>ch3</t>
  </si>
  <si>
    <t>Input</t>
  </si>
  <si>
    <t>Module1</t>
  </si>
  <si>
    <t xml:space="preserve">Description: </t>
  </si>
  <si>
    <t>Output</t>
  </si>
  <si>
    <t>Module2</t>
  </si>
  <si>
    <t>failureMode</t>
  </si>
  <si>
    <t>pulseWidth</t>
  </si>
  <si>
    <t>pulseCount</t>
  </si>
  <si>
    <t>|'Other mappings'!_Module1¤name</t>
  </si>
  <si>
    <t>|'Other mappings'!_Module1¤description</t>
  </si>
  <si>
    <t>|'Other mappings'!_Module2¤name</t>
  </si>
  <si>
    <t>|'Other mappings'!_Module2¤description</t>
  </si>
  <si>
    <t>|ch1</t>
  </si>
  <si>
    <t>|='Vendor signal list'!$J$4</t>
  </si>
  <si>
    <t>|FailureMode</t>
  </si>
  <si>
    <t>|='Vendor signal list'!$K$4</t>
  </si>
  <si>
    <t>|Input</t>
  </si>
  <si>
    <t>|</t>
  </si>
  <si>
    <t>|Vendor signal list</t>
  </si>
  <si>
    <t>|False</t>
  </si>
  <si>
    <t>|True</t>
  </si>
  <si>
    <t>|='Vendor signal list'!$J$6</t>
  </si>
  <si>
    <t>|PulseCount</t>
  </si>
  <si>
    <t>|='Vendor signal list'!$K$6</t>
  </si>
  <si>
    <t>|='Vendor signal list'!$J$8</t>
  </si>
  <si>
    <t>|PulseWidth</t>
  </si>
  <si>
    <t>|='Vendor signal list'!$K$8</t>
  </si>
  <si>
    <t>|='Vendor signal list'!$J$5</t>
  </si>
  <si>
    <t>|='Vendor signal list'!$K$5</t>
  </si>
  <si>
    <t>|ch2</t>
  </si>
  <si>
    <t>|='Vendor signal list'!$J$7</t>
  </si>
  <si>
    <t>|='Vendor signal list'!$K$7</t>
  </si>
  <si>
    <t>|ch3</t>
  </si>
  <si>
    <t>|='Vendor signal list'!$J$10</t>
  </si>
  <si>
    <t>|='Vendor signal list'!$K$10</t>
  </si>
  <si>
    <t>|='Vendor signal list'!$J$12</t>
  </si>
  <si>
    <t>|='Vendor signal list'!$K$12</t>
  </si>
  <si>
    <t>|='Vendor signal list'!$J$11</t>
  </si>
  <si>
    <t>|='Vendor signal list'!$K$11</t>
  </si>
  <si>
    <t>|='Other mappings'!$P$4</t>
  </si>
  <si>
    <t>|='Other mappings'!$P$6</t>
  </si>
  <si>
    <t>|='Other mappings'!$P$10</t>
  </si>
  <si>
    <t>|='Other mappings'!$P$9</t>
  </si>
  <si>
    <t>|='Other mappings'!$P$12</t>
  </si>
  <si>
    <t>|='Other mappings'!$P$14</t>
  </si>
  <si>
    <t>|='Other mappings'!$F$4</t>
  </si>
  <si>
    <t>|Other mappings</t>
  </si>
  <si>
    <t>|='Other mappings'!$F$5</t>
  </si>
  <si>
    <t>|='Other mappings'!$P$5</t>
  </si>
  <si>
    <t>|='Other mappings'!$F$6</t>
  </si>
  <si>
    <t>|='Other mappings'!$F$9</t>
  </si>
  <si>
    <t>|='Other mappings'!$F$10</t>
  </si>
  <si>
    <t>|='Other mappings'!$F$12</t>
  </si>
  <si>
    <t>|='Other mappings'!$F$14</t>
  </si>
  <si>
    <t>|='Other mappings'!$E$4</t>
  </si>
  <si>
    <t>|='Other mappings'!$E$6</t>
  </si>
  <si>
    <t>|='Other mappings'!$E$5</t>
  </si>
  <si>
    <t>|='Other mappings'!$E$10</t>
  </si>
  <si>
    <t>|='Other mappings'!$E$9</t>
  </si>
  <si>
    <t>|='Other mappings'!$E$12</t>
  </si>
  <si>
    <t>|='Other mappings'!$E$14</t>
  </si>
  <si>
    <t>PulsesPerRev</t>
  </si>
  <si>
    <t>Pulses Per Revolution</t>
  </si>
  <si>
    <t>pulsesPerRevolution</t>
  </si>
  <si>
    <t>|PulsesPerRev</t>
  </si>
  <si>
    <t>|Pulses Per Revolution</t>
  </si>
  <si>
    <t>|='Other mappings'!$P$7</t>
  </si>
  <si>
    <t>|='Vendor signal list'!$J$14</t>
  </si>
  <si>
    <t>|='Vendor signal list'!$K$14</t>
  </si>
  <si>
    <t>|='Vendor signal list'!$J$15</t>
  </si>
  <si>
    <t>|='Vendor signal list'!$K$15</t>
  </si>
  <si>
    <t>|='Other mappings'!$P$17</t>
  </si>
  <si>
    <t>|='Other mappings'!$F$7</t>
  </si>
  <si>
    <t>|='Other mappings'!$F$17</t>
  </si>
  <si>
    <t>|='Other mappings'!$P$11</t>
  </si>
  <si>
    <t>|='Other mappings'!$P$16</t>
  </si>
  <si>
    <t>|='Other mappings'!$F$15</t>
  </si>
  <si>
    <t>|='Other mappings'!$P$15</t>
  </si>
  <si>
    <t>|='Other mappings'!$F$16</t>
  </si>
  <si>
    <t>Vendor desc</t>
  </si>
  <si>
    <t>|='Other mappings'!$E$7</t>
  </si>
  <si>
    <t>|='Other mappings'!$E$11</t>
  </si>
  <si>
    <t>|='Other mappings'!$F$11</t>
  </si>
  <si>
    <t>|='Other mappings'!$E$16</t>
  </si>
  <si>
    <t>|='Other mappings'!$E$17</t>
  </si>
  <si>
    <t>|='Other mappings'!$E$15</t>
  </si>
  <si>
    <t>chAll</t>
  </si>
  <si>
    <t>GeneralSettings</t>
  </si>
  <si>
    <t>Reserved1</t>
  </si>
  <si>
    <t>Reserved2</t>
  </si>
  <si>
    <t>ch0</t>
  </si>
  <si>
    <t>Module0</t>
  </si>
  <si>
    <t>|'Other mappings'!_Module0¤name</t>
  </si>
  <si>
    <t>|'Other mappings'!_Module0¤description</t>
  </si>
  <si>
    <t>|ch0</t>
  </si>
  <si>
    <t>|='Other mappings'!$P$19</t>
  </si>
  <si>
    <t>|='Other mappings'!$P$21</t>
  </si>
  <si>
    <t>|='Other mappings'!$P$22</t>
  </si>
  <si>
    <t>|='Other mappings'!$P$20</t>
  </si>
  <si>
    <t>|='Vendor signal list'!$J$16</t>
  </si>
  <si>
    <t>|='Vendor signal list'!$K$16</t>
  </si>
  <si>
    <t>|='Vendor signal list'!$J$18</t>
  </si>
  <si>
    <t>|='Vendor signal list'!$K$18</t>
  </si>
  <si>
    <t>|='Vendor signal list'!$J$19</t>
  </si>
  <si>
    <t>|='Vendor signal list'!$K$19</t>
  </si>
  <si>
    <t>|='Vendor signal list'!$J$17</t>
  </si>
  <si>
    <t>|='Vendor signal list'!$K$17</t>
  </si>
  <si>
    <t>|chAll</t>
  </si>
  <si>
    <t>|GeneralSettings</t>
  </si>
  <si>
    <t>|Reserved1</t>
  </si>
  <si>
    <t>|Reserved2</t>
  </si>
  <si>
    <t>|='Other mappings'!$F$19</t>
  </si>
  <si>
    <t>|='Other mappings'!$F$20</t>
  </si>
  <si>
    <t>|='Other mappings'!$F$21</t>
  </si>
  <si>
    <t>|='Other mappings'!$F$22</t>
  </si>
  <si>
    <t>ModuleSettings</t>
  </si>
  <si>
    <t>|'Other mappings'!_ModuleSettings¤name</t>
  </si>
  <si>
    <t>|'Other mappings'!_ModuleSettings¤description</t>
  </si>
  <si>
    <t>NO</t>
  </si>
  <si>
    <t>DisableEnc0</t>
  </si>
  <si>
    <t>DisableEnc1</t>
  </si>
  <si>
    <t>DisableEnc2</t>
  </si>
  <si>
    <t>DisableEnc3</t>
  </si>
  <si>
    <t>|='Vendor signal list'!$J$21</t>
  </si>
  <si>
    <t>|='Vendor signal list'!$K$21</t>
  </si>
  <si>
    <t>|='Vendor signal list'!$J$22</t>
  </si>
  <si>
    <t>|='Vendor signal list'!$K$22</t>
  </si>
  <si>
    <t>|='Vendor signal list'!$J$25</t>
  </si>
  <si>
    <t>|='Vendor signal list'!$K$25</t>
  </si>
  <si>
    <t>|='Vendor signal list'!$J$23</t>
  </si>
  <si>
    <t>|='Vendor signal list'!$K$23</t>
  </si>
  <si>
    <t>|DisableEnc0</t>
  </si>
  <si>
    <t>|DisableEnc1</t>
  </si>
  <si>
    <t>|DisableEnc2</t>
  </si>
  <si>
    <t>|DisableEnc3</t>
  </si>
  <si>
    <t>|='Other mappings'!$E$20</t>
  </si>
  <si>
    <t>|='Other mappings'!$E$19</t>
  </si>
  <si>
    <t>|='Other mappings'!$P$23</t>
  </si>
  <si>
    <t>|='Other mappings'!$P$24</t>
  </si>
  <si>
    <t>|='Other mappings'!$F$24</t>
  </si>
  <si>
    <t>|='Other mappings'!$F$23</t>
  </si>
  <si>
    <t>|='Other mappings'!$P$25</t>
  </si>
  <si>
    <t>|='Other mappings'!$P$26</t>
  </si>
  <si>
    <t>|='Other mappings'!$E$21</t>
  </si>
  <si>
    <t>|='Other mappings'!$E$22</t>
  </si>
  <si>
    <t>|='Other mappings'!$E$23</t>
  </si>
  <si>
    <t>|='Other mappings'!$E$24</t>
  </si>
  <si>
    <t>|='Other mappings'!$F$25</t>
  </si>
  <si>
    <t>|='Other mappings'!$F$26</t>
  </si>
  <si>
    <t>ch4</t>
  </si>
  <si>
    <t>ch5</t>
  </si>
  <si>
    <t>ch6</t>
  </si>
  <si>
    <t>|='Vendor signal list'!$J$26</t>
  </si>
  <si>
    <t>|='Vendor signal list'!$K$26</t>
  </si>
  <si>
    <t>|ch4</t>
  </si>
  <si>
    <t>|='Vendor signal list'!$J$27</t>
  </si>
  <si>
    <t>|='Vendor signal list'!$K$27</t>
  </si>
  <si>
    <t>|ch5</t>
  </si>
  <si>
    <t>|='Vendor signal list'!$J$28</t>
  </si>
  <si>
    <t>|='Vendor signal list'!$K$28</t>
  </si>
  <si>
    <t>|ch6</t>
  </si>
  <si>
    <t>|='Vendor signal list'!$J$29</t>
  </si>
  <si>
    <t>|='Vendor signal list'!$K$29</t>
  </si>
  <si>
    <t>|='Other mappings'!$E$25</t>
  </si>
  <si>
    <t>|='Other mappings'!$E$26</t>
  </si>
  <si>
    <t>192.168.1.9</t>
  </si>
  <si>
    <t>DisableEnc4</t>
  </si>
  <si>
    <t>DisableEnc5</t>
  </si>
  <si>
    <t>DisableEnc6</t>
  </si>
  <si>
    <t>DisableEnc7</t>
  </si>
  <si>
    <t>DisableEnc8</t>
  </si>
  <si>
    <t>DisableEnc9</t>
  </si>
  <si>
    <t>DisableGrp0ChZ</t>
  </si>
  <si>
    <t>DisableGrp1ChZ</t>
  </si>
  <si>
    <t>DisableGrp2ChZ</t>
  </si>
  <si>
    <t>DisableEncAllChZ</t>
  </si>
  <si>
    <t>Disable Enc All ChZ</t>
  </si>
  <si>
    <t>Disable Enc 89AB ChZ</t>
  </si>
  <si>
    <t>Disable Enc 4567 ChZ</t>
  </si>
  <si>
    <t>Disable Enc 0123 ChZ</t>
  </si>
  <si>
    <t>|='Vendor signal list'!$J$31</t>
  </si>
  <si>
    <t>|='Vendor signal list'!$K$31</t>
  </si>
  <si>
    <t>|='Vendor signal list'!$J$32</t>
  </si>
  <si>
    <t>|='Vendor signal list'!$K$32</t>
  </si>
  <si>
    <t>|='Vendor signal list'!$J$30</t>
  </si>
  <si>
    <t>|='Vendor signal list'!$K$30</t>
  </si>
  <si>
    <t>|='Vendor signal list'!$J$33</t>
  </si>
  <si>
    <t>|='Vendor signal list'!$K$33</t>
  </si>
  <si>
    <t>|='Vendor signal list'!$J$35</t>
  </si>
  <si>
    <t>|='Vendor signal list'!$K$35</t>
  </si>
  <si>
    <t>|='Vendor signal list'!$J$36</t>
  </si>
  <si>
    <t>|='Vendor signal list'!$K$36</t>
  </si>
  <si>
    <t>|='Vendor signal list'!$J$34</t>
  </si>
  <si>
    <t>|='Vendor signal list'!$K$34</t>
  </si>
  <si>
    <t>|='Vendor signal list'!$J$37</t>
  </si>
  <si>
    <t>|='Vendor signal list'!$K$37</t>
  </si>
  <si>
    <t>|='Vendor signal list'!$J$38</t>
  </si>
  <si>
    <t>|='Vendor signal list'!$K$38</t>
  </si>
  <si>
    <t>|='Vendor signal list'!$J$39</t>
  </si>
  <si>
    <t>|='Vendor signal list'!$K$39</t>
  </si>
  <si>
    <t>|='Vendor signal list'!$J$40</t>
  </si>
  <si>
    <t>|='Vendor signal list'!$K$40</t>
  </si>
  <si>
    <t>|DisableEnc4</t>
  </si>
  <si>
    <t>|='Vendor signal list'!$J$9</t>
  </si>
  <si>
    <t>|DisableEnc5</t>
  </si>
  <si>
    <t>|='Vendor signal list'!$K$9</t>
  </si>
  <si>
    <t>|DisableEnc6</t>
  </si>
  <si>
    <t>|DisableEnc7</t>
  </si>
  <si>
    <t>|DisableEnc8</t>
  </si>
  <si>
    <t>|='Vendor signal list'!$J$13</t>
  </si>
  <si>
    <t>|DisableEnc9</t>
  </si>
  <si>
    <t>|='Vendor signal list'!$K$13</t>
  </si>
  <si>
    <t>|DisableEncAllChZ</t>
  </si>
  <si>
    <t>|Disable Enc All ChZ</t>
  </si>
  <si>
    <t>|DisableGrp0ChZ</t>
  </si>
  <si>
    <t>|Disable Enc 0123 ChZ</t>
  </si>
  <si>
    <t>|DisableGrp1ChZ</t>
  </si>
  <si>
    <t>|Disable Enc 4567 ChZ</t>
  </si>
  <si>
    <t>|DisableGrp2ChZ</t>
  </si>
  <si>
    <t>|Disable Enc 89AB ChZ</t>
  </si>
  <si>
    <t>DisableEncA</t>
  </si>
  <si>
    <t>DisableEncB</t>
  </si>
  <si>
    <t>DisableEncGrp0ChZ</t>
  </si>
  <si>
    <t>DisableEncGrp1ChZ</t>
  </si>
  <si>
    <t>DisableEncGrp2ChZ</t>
  </si>
  <si>
    <t>|='Other mappings'!$P$27</t>
  </si>
  <si>
    <t>|='Other mappings'!$P$28</t>
  </si>
  <si>
    <t>|DisableEncA</t>
  </si>
  <si>
    <t>|='Other mappings'!$P$29</t>
  </si>
  <si>
    <t>|='Other mappings'!$P$34</t>
  </si>
  <si>
    <t>|DisableEncB</t>
  </si>
  <si>
    <t>|='Other mappings'!$P$30</t>
  </si>
  <si>
    <t>|='Other mappings'!$P$31</t>
  </si>
  <si>
    <t>|='Other mappings'!$P$32</t>
  </si>
  <si>
    <t>|='Other mappings'!$P$33</t>
  </si>
  <si>
    <t>|='Other mappings'!$P$36</t>
  </si>
  <si>
    <t>|='Other mappings'!$P$37</t>
  </si>
  <si>
    <t>|='Other mappings'!$P$38</t>
  </si>
  <si>
    <t>|='Other mappings'!$F$27</t>
  </si>
  <si>
    <t>|='Other mappings'!$F$28</t>
  </si>
  <si>
    <t>|='Other mappings'!$F$29</t>
  </si>
  <si>
    <t>|='Other mappings'!$F$30</t>
  </si>
  <si>
    <t>|='Other mappings'!$F$31</t>
  </si>
  <si>
    <t>|='Other mappings'!$F$32</t>
  </si>
  <si>
    <t>|='Other mappings'!$F$33</t>
  </si>
  <si>
    <t>|='Other mappings'!$F$34</t>
  </si>
  <si>
    <t>|='Other mappings'!$F$36</t>
  </si>
  <si>
    <t>|='Other mappings'!$F$37</t>
  </si>
  <si>
    <t>|='Other mappings'!$F$38</t>
  </si>
  <si>
    <t>|='Other mappings'!$E$27</t>
  </si>
  <si>
    <t>|='Other mappings'!$E$28</t>
  </si>
  <si>
    <t>|='Other mappings'!$E$29</t>
  </si>
  <si>
    <t>|='Other mappings'!$E$34</t>
  </si>
  <si>
    <t>|='Other mappings'!$E$30</t>
  </si>
  <si>
    <t>|='Other mappings'!$E$31</t>
  </si>
  <si>
    <t>|='Other mappings'!$E$32</t>
  </si>
  <si>
    <t>|='Other mappings'!$E$33</t>
  </si>
  <si>
    <t>|='Other mappings'!$E$36</t>
  </si>
  <si>
    <t>|='Other mappings'!$E$37</t>
  </si>
  <si>
    <t>|='Other mappings'!$E$38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</si>
</sst>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 ;\(&quot;$&quot;#,##0\)"/>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12"/>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8"/>
      <name val="Arial"/>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1"/>
      <color rgb="FF9C0006"/>
      <name val="Calibri"/>
      <family val="2"/>
      <scheme val="minor"/>
    </font>
    <font>
      <b/>
      <sz val="18"/>
      <color theme="3"/>
      <name val="Cambria"/>
      <family val="2"/>
      <scheme val="maj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8"/>
      <name val="Arial"/>
      <family val="2"/>
    </font>
    <font>
      <sz val="9"/>
      <color indexed="81"/>
      <name val="Tahoma"/>
      <family val="2"/>
    </font>
    <font>
      <b/>
      <sz val="9"/>
      <color indexed="81"/>
      <name val="Tahoma"/>
      <family val="2"/>
    </font>
    <font>
      <sz val="10"/>
      <color indexed="81"/>
      <name val="Tahoma"/>
      <family val="2"/>
    </font>
    <font>
      <sz val="9"/>
      <name val="Arial"/>
      <family val="2"/>
    </font>
    <font>
      <sz val="12"/>
      <name val="Arial"/>
      <family val="2"/>
    </font>
    <font>
      <sz val="10"/>
      <name val="Arial"/>
    </font>
    <font>
      <b/>
      <sz val="11"/>
      <name val="Arial"/>
      <family val="2"/>
    </font>
    <font>
      <sz val="9"/>
      <color indexed="81"/>
      <name val="Calibri"/>
      <family val="2"/>
    </font>
  </fonts>
  <fills count="72">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3" tint="0.79998168889431442"/>
        <bgColor indexed="64"/>
      </patternFill>
    </fill>
    <fill>
      <patternFill patternType="solid">
        <fgColor rgb="FFCCFFCC"/>
        <bgColor indexed="64"/>
      </patternFill>
    </fill>
    <fill>
      <patternFill patternType="solid">
        <fgColor theme="7" tint="0.59999389629810485"/>
        <bgColor indexed="64"/>
      </patternFill>
    </fill>
    <fill>
      <patternFill patternType="solid">
        <fgColor rgb="FFFFFF99"/>
        <bgColor indexed="64"/>
      </patternFill>
    </fill>
    <fill>
      <patternFill patternType="solid">
        <fgColor indexed="41"/>
        <bgColor indexed="64"/>
      </patternFill>
    </fill>
    <fill>
      <patternFill patternType="solid">
        <fgColor rgb="FFF5F5F5"/>
        <bgColor indexed="64"/>
      </patternFill>
    </fill>
    <fill>
      <patternFill patternType="solid">
        <fgColor rgb="FFF0FFF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B0C4DE"/>
        <bgColor indexed="64"/>
      </patternFill>
    </fill>
    <fill>
      <patternFill patternType="solid">
        <fgColor rgb="FFF5DEB3"/>
        <bgColor indexed="64"/>
      </patternFill>
    </fill>
    <fill>
      <patternFill patternType="solid">
        <fgColor rgb="FFFA8072"/>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diagonal/>
    </border>
    <border>
      <left style="thin">
        <color indexed="64"/>
      </left>
      <right style="thin">
        <color indexed="64"/>
      </right>
      <top style="thick">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0"/>
      </left>
      <right style="thin">
        <color indexed="0"/>
      </right>
      <top style="thin">
        <color indexed="0"/>
      </top>
      <bottom style="thin">
        <color indexed="0"/>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double">
        <color indexed="0"/>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diagonal/>
    </border>
  </borders>
  <cellStyleXfs count="2902">
    <xf numFmtId="0" fontId="0" fillId="0" borderId="0"/>
    <xf numFmtId="0" fontId="16" fillId="0" borderId="0"/>
    <xf numFmtId="0" fontId="16" fillId="0" borderId="0"/>
    <xf numFmtId="0" fontId="16" fillId="0" borderId="0"/>
    <xf numFmtId="0" fontId="20" fillId="0" borderId="5" applyNumberFormat="0" applyFill="0" applyAlignment="0" applyProtection="0"/>
    <xf numFmtId="0" fontId="21" fillId="0" borderId="6" applyNumberFormat="0" applyFill="0" applyAlignment="0" applyProtection="0"/>
    <xf numFmtId="0" fontId="22" fillId="0" borderId="7" applyNumberFormat="0" applyFill="0" applyAlignment="0" applyProtection="0"/>
    <xf numFmtId="0" fontId="16" fillId="0" borderId="0"/>
    <xf numFmtId="0" fontId="16" fillId="0" borderId="0"/>
    <xf numFmtId="0" fontId="16" fillId="0" borderId="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23" fillId="14" borderId="0" applyNumberFormat="0" applyBorder="0" applyAlignment="0" applyProtection="0"/>
    <xf numFmtId="0" fontId="24" fillId="15"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22" borderId="0" applyNumberFormat="0" applyBorder="0" applyAlignment="0" applyProtection="0"/>
    <xf numFmtId="0" fontId="25" fillId="6" borderId="0" applyNumberFormat="0" applyBorder="0" applyAlignment="0" applyProtection="0"/>
    <xf numFmtId="0" fontId="26" fillId="23" borderId="8" applyNumberFormat="0" applyAlignment="0" applyProtection="0"/>
    <xf numFmtId="0" fontId="27" fillId="24" borderId="9" applyNumberFormat="0" applyAlignment="0" applyProtection="0"/>
    <xf numFmtId="3" fontId="16" fillId="0" borderId="0" applyFont="0" applyFill="0" applyBorder="0" applyAlignment="0" applyProtection="0"/>
    <xf numFmtId="164" fontId="16" fillId="0" borderId="0" applyFont="0" applyFill="0" applyBorder="0" applyAlignment="0" applyProtection="0"/>
    <xf numFmtId="0" fontId="16" fillId="0" borderId="0" applyFont="0" applyFill="0" applyBorder="0" applyAlignment="0" applyProtection="0"/>
    <xf numFmtId="0" fontId="28" fillId="0" borderId="0" applyNumberFormat="0" applyFill="0" applyBorder="0" applyAlignment="0" applyProtection="0"/>
    <xf numFmtId="2" fontId="16" fillId="0" borderId="0" applyFont="0" applyFill="0" applyBorder="0" applyAlignment="0" applyProtection="0"/>
    <xf numFmtId="0" fontId="16" fillId="0" borderId="10" applyBorder="0" applyAlignment="0" applyProtection="0">
      <alignment horizontal="right"/>
    </xf>
    <xf numFmtId="0" fontId="29" fillId="7" borderId="0" applyNumberFormat="0" applyBorder="0" applyAlignment="0" applyProtection="0"/>
    <xf numFmtId="0" fontId="30" fillId="0" borderId="0" applyNumberFormat="0" applyFont="0" applyFill="0" applyAlignment="0" applyProtection="0"/>
    <xf numFmtId="0" fontId="19" fillId="0" borderId="0" applyNumberFormat="0" applyFon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19" fillId="0" borderId="10" applyBorder="0" applyAlignment="0" applyProtection="0">
      <alignment horizontal="center"/>
    </xf>
    <xf numFmtId="0" fontId="32" fillId="10" borderId="8" applyNumberFormat="0" applyAlignment="0" applyProtection="0"/>
    <xf numFmtId="0" fontId="33" fillId="0" borderId="12" applyNumberFormat="0" applyFill="0" applyAlignment="0" applyProtection="0"/>
    <xf numFmtId="0" fontId="34" fillId="25" borderId="0" applyNumberFormat="0" applyBorder="0" applyAlignment="0" applyProtection="0"/>
    <xf numFmtId="0" fontId="23" fillId="26" borderId="13" applyNumberFormat="0" applyFont="0" applyAlignment="0" applyProtection="0"/>
    <xf numFmtId="0" fontId="35" fillId="23" borderId="14" applyNumberFormat="0" applyAlignment="0" applyProtection="0"/>
    <xf numFmtId="0" fontId="16" fillId="0" borderId="10" applyBorder="0" applyAlignment="0" applyProtection="0">
      <alignment horizontal="right"/>
    </xf>
    <xf numFmtId="0" fontId="36" fillId="0" borderId="0" applyNumberFormat="0" applyFill="0" applyBorder="0" applyAlignment="0" applyProtection="0"/>
    <xf numFmtId="0" fontId="16" fillId="0" borderId="15" applyNumberFormat="0" applyFont="0" applyBorder="0" applyAlignment="0" applyProtection="0"/>
    <xf numFmtId="0" fontId="37" fillId="0" borderId="0" applyNumberFormat="0" applyFill="0" applyBorder="0" applyAlignment="0" applyProtection="0"/>
    <xf numFmtId="0" fontId="15" fillId="0" borderId="0"/>
    <xf numFmtId="0" fontId="14" fillId="0" borderId="0"/>
    <xf numFmtId="0" fontId="13" fillId="0" borderId="0"/>
    <xf numFmtId="0" fontId="12" fillId="0" borderId="0"/>
    <xf numFmtId="0" fontId="12" fillId="0" borderId="0"/>
    <xf numFmtId="0" fontId="12" fillId="0" borderId="0"/>
    <xf numFmtId="0" fontId="38" fillId="27" borderId="0" applyNumberFormat="0" applyBorder="0" applyAlignment="0" applyProtection="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39" fillId="0" borderId="0" applyNumberFormat="0" applyFill="0" applyBorder="0" applyAlignment="0" applyProtection="0"/>
    <xf numFmtId="0" fontId="22" fillId="0" borderId="0" applyNumberFormat="0" applyFill="0" applyBorder="0" applyAlignment="0" applyProtection="0"/>
    <xf numFmtId="0" fontId="40" fillId="28" borderId="0" applyNumberFormat="0" applyBorder="0" applyAlignment="0" applyProtection="0"/>
    <xf numFmtId="0" fontId="41" fillId="29" borderId="0" applyNumberFormat="0" applyBorder="0" applyAlignment="0" applyProtection="0"/>
    <xf numFmtId="0" fontId="42" fillId="30" borderId="16" applyNumberFormat="0" applyAlignment="0" applyProtection="0"/>
    <xf numFmtId="0" fontId="43" fillId="31" borderId="17" applyNumberFormat="0" applyAlignment="0" applyProtection="0"/>
    <xf numFmtId="0" fontId="44" fillId="31" borderId="16" applyNumberFormat="0" applyAlignment="0" applyProtection="0"/>
    <xf numFmtId="0" fontId="45" fillId="0" borderId="18" applyNumberFormat="0" applyFill="0" applyAlignment="0" applyProtection="0"/>
    <xf numFmtId="0" fontId="46" fillId="32" borderId="19" applyNumberFormat="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9" fillId="0" borderId="21" applyNumberFormat="0" applyFill="0" applyAlignment="0" applyProtection="0"/>
    <xf numFmtId="0" fontId="50" fillId="3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50" fillId="37" borderId="0" applyNumberFormat="0" applyBorder="0" applyAlignment="0" applyProtection="0"/>
    <xf numFmtId="0" fontId="50" fillId="38"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50" fillId="41" borderId="0" applyNumberFormat="0" applyBorder="0" applyAlignment="0" applyProtection="0"/>
    <xf numFmtId="0" fontId="50" fillId="42" borderId="0" applyNumberFormat="0" applyBorder="0" applyAlignment="0" applyProtection="0"/>
    <xf numFmtId="0" fontId="8" fillId="43" borderId="0" applyNumberFormat="0" applyBorder="0" applyAlignment="0" applyProtection="0"/>
    <xf numFmtId="0" fontId="8" fillId="44" borderId="0" applyNumberFormat="0" applyBorder="0" applyAlignment="0" applyProtection="0"/>
    <xf numFmtId="0" fontId="50" fillId="45" borderId="0" applyNumberFormat="0" applyBorder="0" applyAlignment="0" applyProtection="0"/>
    <xf numFmtId="0" fontId="50" fillId="46" borderId="0" applyNumberFormat="0" applyBorder="0" applyAlignment="0" applyProtection="0"/>
    <xf numFmtId="0" fontId="8" fillId="47" borderId="0" applyNumberFormat="0" applyBorder="0" applyAlignment="0" applyProtection="0"/>
    <xf numFmtId="0" fontId="8" fillId="48" borderId="0" applyNumberFormat="0" applyBorder="0" applyAlignment="0" applyProtection="0"/>
    <xf numFmtId="0" fontId="50" fillId="49" borderId="0" applyNumberFormat="0" applyBorder="0" applyAlignment="0" applyProtection="0"/>
    <xf numFmtId="0" fontId="50" fillId="50" borderId="0" applyNumberFormat="0" applyBorder="0" applyAlignment="0" applyProtection="0"/>
    <xf numFmtId="0" fontId="8" fillId="51" borderId="0" applyNumberFormat="0" applyBorder="0" applyAlignment="0" applyProtection="0"/>
    <xf numFmtId="0" fontId="8" fillId="52" borderId="0" applyNumberFormat="0" applyBorder="0" applyAlignment="0" applyProtection="0"/>
    <xf numFmtId="0" fontId="50" fillId="53" borderId="0" applyNumberFormat="0" applyBorder="0" applyAlignment="0" applyProtection="0"/>
    <xf numFmtId="0" fontId="50" fillId="54" borderId="0" applyNumberFormat="0" applyBorder="0" applyAlignment="0" applyProtection="0"/>
    <xf numFmtId="0" fontId="8" fillId="55" borderId="0" applyNumberFormat="0" applyBorder="0" applyAlignment="0" applyProtection="0"/>
    <xf numFmtId="0" fontId="8" fillId="56" borderId="0" applyNumberFormat="0" applyBorder="0" applyAlignment="0" applyProtection="0"/>
    <xf numFmtId="0" fontId="50" fillId="57" borderId="0" applyNumberFormat="0" applyBorder="0" applyAlignment="0" applyProtection="0"/>
    <xf numFmtId="0" fontId="8" fillId="0" borderId="0"/>
    <xf numFmtId="0" fontId="8" fillId="33" borderId="20" applyNumberFormat="0" applyFont="0" applyAlignment="0" applyProtection="0"/>
    <xf numFmtId="0" fontId="7" fillId="0" borderId="0"/>
    <xf numFmtId="0" fontId="7" fillId="35" borderId="0" applyNumberFormat="0" applyBorder="0" applyAlignment="0" applyProtection="0"/>
    <xf numFmtId="0" fontId="7" fillId="36" borderId="0" applyNumberFormat="0" applyBorder="0" applyAlignment="0" applyProtection="0"/>
    <xf numFmtId="0" fontId="7" fillId="39" borderId="0" applyNumberFormat="0" applyBorder="0" applyAlignment="0" applyProtection="0"/>
    <xf numFmtId="0" fontId="7" fillId="40" borderId="0" applyNumberFormat="0" applyBorder="0" applyAlignment="0" applyProtection="0"/>
    <xf numFmtId="0" fontId="7" fillId="43" borderId="0" applyNumberFormat="0" applyBorder="0" applyAlignment="0" applyProtection="0"/>
    <xf numFmtId="0" fontId="7" fillId="44" borderId="0" applyNumberFormat="0" applyBorder="0" applyAlignment="0" applyProtection="0"/>
    <xf numFmtId="0" fontId="7" fillId="47" borderId="0" applyNumberFormat="0" applyBorder="0" applyAlignment="0" applyProtection="0"/>
    <xf numFmtId="0" fontId="7" fillId="48" borderId="0" applyNumberFormat="0" applyBorder="0" applyAlignment="0" applyProtection="0"/>
    <xf numFmtId="0" fontId="7" fillId="51" borderId="0" applyNumberFormat="0" applyBorder="0" applyAlignment="0" applyProtection="0"/>
    <xf numFmtId="0" fontId="7" fillId="52" borderId="0" applyNumberFormat="0" applyBorder="0" applyAlignment="0" applyProtection="0"/>
    <xf numFmtId="0" fontId="7" fillId="55" borderId="0" applyNumberFormat="0" applyBorder="0" applyAlignment="0" applyProtection="0"/>
    <xf numFmtId="0" fontId="7" fillId="56" borderId="0" applyNumberFormat="0" applyBorder="0" applyAlignment="0" applyProtection="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20"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5" borderId="0" applyNumberFormat="0" applyBorder="0" applyAlignment="0" applyProtection="0"/>
    <xf numFmtId="0" fontId="6" fillId="3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47"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6"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20" applyNumberFormat="0" applyFont="0" applyAlignment="0" applyProtection="0"/>
    <xf numFmtId="0" fontId="6" fillId="0" borderId="0"/>
    <xf numFmtId="0" fontId="6" fillId="35" borderId="0" applyNumberFormat="0" applyBorder="0" applyAlignment="0" applyProtection="0"/>
    <xf numFmtId="0" fontId="6" fillId="3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3" borderId="0" applyNumberFormat="0" applyBorder="0" applyAlignment="0" applyProtection="0"/>
    <xf numFmtId="0" fontId="6" fillId="44" borderId="0" applyNumberFormat="0" applyBorder="0" applyAlignment="0" applyProtection="0"/>
    <xf numFmtId="0" fontId="6" fillId="47" borderId="0" applyNumberFormat="0" applyBorder="0" applyAlignment="0" applyProtection="0"/>
    <xf numFmtId="0" fontId="6" fillId="48" borderId="0" applyNumberFormat="0" applyBorder="0" applyAlignment="0" applyProtection="0"/>
    <xf numFmtId="0" fontId="6" fillId="51" borderId="0" applyNumberFormat="0" applyBorder="0" applyAlignment="0" applyProtection="0"/>
    <xf numFmtId="0" fontId="6" fillId="52" borderId="0" applyNumberFormat="0" applyBorder="0" applyAlignment="0" applyProtection="0"/>
    <xf numFmtId="0" fontId="6" fillId="55" borderId="0" applyNumberFormat="0" applyBorder="0" applyAlignment="0" applyProtection="0"/>
    <xf numFmtId="0" fontId="6" fillId="56"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2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5" fillId="0" borderId="0"/>
    <xf numFmtId="0" fontId="5" fillId="33" borderId="20" applyNumberFormat="0" applyFont="0" applyAlignment="0" applyProtection="0"/>
    <xf numFmtId="0" fontId="5" fillId="0" borderId="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3" borderId="20"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3" borderId="20" applyNumberFormat="0" applyFont="0" applyAlignment="0" applyProtection="0"/>
    <xf numFmtId="0" fontId="5" fillId="0" borderId="0"/>
    <xf numFmtId="0" fontId="5" fillId="35" borderId="0" applyNumberFormat="0" applyBorder="0" applyAlignment="0" applyProtection="0"/>
    <xf numFmtId="0" fontId="5" fillId="36"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 fillId="51" borderId="0" applyNumberFormat="0" applyBorder="0" applyAlignment="0" applyProtection="0"/>
    <xf numFmtId="0" fontId="5" fillId="52" borderId="0" applyNumberFormat="0" applyBorder="0" applyAlignment="0" applyProtection="0"/>
    <xf numFmtId="0" fontId="5" fillId="55" borderId="0" applyNumberFormat="0" applyBorder="0" applyAlignment="0" applyProtection="0"/>
    <xf numFmtId="0" fontId="5" fillId="56"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3" borderId="2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3" borderId="20" applyNumberFormat="0" applyFont="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3" borderId="20"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3" borderId="20" applyNumberFormat="0" applyFont="0" applyAlignment="0" applyProtection="0"/>
    <xf numFmtId="0" fontId="4" fillId="0" borderId="0"/>
    <xf numFmtId="0" fontId="4" fillId="35" borderId="0" applyNumberFormat="0" applyBorder="0" applyAlignment="0" applyProtection="0"/>
    <xf numFmtId="0" fontId="4" fillId="36"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xf numFmtId="0" fontId="4" fillId="47" borderId="0" applyNumberFormat="0" applyBorder="0" applyAlignment="0" applyProtection="0"/>
    <xf numFmtId="0" fontId="4" fillId="48" borderId="0" applyNumberFormat="0" applyBorder="0" applyAlignment="0" applyProtection="0"/>
    <xf numFmtId="0" fontId="4" fillId="51" borderId="0" applyNumberFormat="0" applyBorder="0" applyAlignment="0" applyProtection="0"/>
    <xf numFmtId="0" fontId="4" fillId="52" borderId="0" applyNumberFormat="0" applyBorder="0" applyAlignment="0" applyProtection="0"/>
    <xf numFmtId="0" fontId="4" fillId="55"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3" borderId="2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33" borderId="20"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3" fillId="0" borderId="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 fillId="47" borderId="0" applyNumberFormat="0" applyBorder="0" applyAlignment="0" applyProtection="0"/>
    <xf numFmtId="0" fontId="3" fillId="48" borderId="0" applyNumberFormat="0" applyBorder="0" applyAlignment="0" applyProtection="0"/>
    <xf numFmtId="0" fontId="3" fillId="51" borderId="0" applyNumberFormat="0" applyBorder="0" applyAlignment="0" applyProtection="0"/>
    <xf numFmtId="0" fontId="3" fillId="52"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3" borderId="20"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3" borderId="20"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8" fillId="70" borderId="1">
      <alignment horizontal="center" vertical="center" wrapText="1"/>
    </xf>
    <xf numFmtId="0" fontId="57" fillId="0" borderId="0"/>
    <xf numFmtId="0" fontId="57" fillId="0" borderId="0"/>
    <xf numFmtId="0" fontId="55" fillId="65" borderId="1">
      <alignment horizontal="left"/>
      <protection locked="0"/>
    </xf>
    <xf numFmtId="0" fontId="55" fillId="65" borderId="1">
      <alignment horizontal="center"/>
      <protection locked="0"/>
    </xf>
    <xf numFmtId="0" fontId="55" fillId="66" borderId="1">
      <alignment horizontal="left"/>
    </xf>
    <xf numFmtId="0" fontId="57" fillId="0" borderId="0"/>
    <xf numFmtId="0" fontId="58" fillId="69" borderId="47">
      <alignment horizontal="center" vertical="center" wrapText="1"/>
    </xf>
    <xf numFmtId="0" fontId="18" fillId="69" borderId="1">
      <alignment horizontal="center" vertical="center" wrapText="1"/>
    </xf>
    <xf numFmtId="0" fontId="57" fillId="0" borderId="0"/>
  </cellStyleXfs>
  <cellXfs count="160">
    <xf numFmtId="0" fontId="0" fillId="0" borderId="0" xfId="0"/>
    <xf numFmtId="0" fontId="0" fillId="0" borderId="0" xfId="0" applyProtection="1">
      <protection locked="0"/>
    </xf>
    <xf numFmtId="0" fontId="51" fillId="4" borderId="22" xfId="0" applyFont="1" applyFill="1" applyBorder="1" applyAlignment="1" applyProtection="1">
      <alignment horizontal="center" vertical="center" wrapText="1"/>
      <protection locked="0"/>
    </xf>
    <xf numFmtId="0" fontId="51" fillId="4" borderId="22" xfId="0" quotePrefix="1" applyFont="1" applyFill="1" applyBorder="1" applyAlignment="1" applyProtection="1">
      <alignment vertical="center" wrapText="1"/>
      <protection locked="0"/>
    </xf>
    <xf numFmtId="0" fontId="51" fillId="4" borderId="22" xfId="0" applyFont="1" applyFill="1" applyBorder="1" applyAlignment="1" applyProtection="1">
      <alignment vertical="center" wrapText="1"/>
      <protection locked="0"/>
    </xf>
    <xf numFmtId="0" fontId="51" fillId="4" borderId="22" xfId="0" applyFont="1" applyFill="1" applyBorder="1" applyAlignment="1" applyProtection="1">
      <alignment vertical="center"/>
      <protection locked="0"/>
    </xf>
    <xf numFmtId="49" fontId="51" fillId="4" borderId="22" xfId="0" applyNumberFormat="1" applyFont="1" applyFill="1" applyBorder="1" applyAlignment="1" applyProtection="1">
      <alignment horizontal="center" vertical="center" wrapText="1"/>
      <protection locked="0"/>
    </xf>
    <xf numFmtId="0" fontId="51" fillId="4" borderId="22" xfId="0" applyNumberFormat="1" applyFont="1" applyFill="1" applyBorder="1" applyAlignment="1" applyProtection="1">
      <alignment horizontal="center" vertical="center" wrapText="1"/>
      <protection locked="0"/>
    </xf>
    <xf numFmtId="0" fontId="17" fillId="0" borderId="0" xfId="0" applyFont="1" applyProtection="1">
      <protection locked="0"/>
    </xf>
    <xf numFmtId="0" fontId="51" fillId="4" borderId="22" xfId="0" applyFont="1" applyFill="1" applyBorder="1" applyAlignment="1" applyProtection="1">
      <alignment horizontal="center" vertical="center"/>
      <protection locked="0"/>
    </xf>
    <xf numFmtId="0" fontId="18" fillId="2" borderId="4" xfId="1" applyFont="1" applyFill="1" applyBorder="1" applyAlignment="1">
      <alignment horizontal="center"/>
    </xf>
    <xf numFmtId="0" fontId="16" fillId="0" borderId="0" xfId="1" applyBorder="1"/>
    <xf numFmtId="0" fontId="16" fillId="0" borderId="0" xfId="1"/>
    <xf numFmtId="0" fontId="16" fillId="2" borderId="1" xfId="1" applyFont="1" applyFill="1" applyBorder="1" applyAlignment="1">
      <alignment horizontal="center"/>
    </xf>
    <xf numFmtId="0" fontId="16" fillId="3" borderId="1" xfId="1" applyFont="1" applyFill="1" applyBorder="1" applyAlignment="1">
      <alignment horizontal="center"/>
    </xf>
    <xf numFmtId="0" fontId="18" fillId="2" borderId="1" xfId="1" applyFont="1" applyFill="1" applyBorder="1" applyAlignment="1">
      <alignment horizontal="center"/>
    </xf>
    <xf numFmtId="0" fontId="0" fillId="58" borderId="0" xfId="0" applyFill="1" applyAlignment="1">
      <alignment horizontal="center" vertical="center"/>
    </xf>
    <xf numFmtId="0" fontId="0" fillId="58" borderId="0" xfId="0" applyFill="1"/>
    <xf numFmtId="0" fontId="0" fillId="0" borderId="1" xfId="0" applyBorder="1"/>
    <xf numFmtId="0" fontId="16" fillId="0" borderId="1" xfId="0" applyFont="1" applyBorder="1"/>
    <xf numFmtId="0" fontId="16" fillId="59" borderId="0" xfId="0" applyFont="1" applyFill="1"/>
    <xf numFmtId="0" fontId="16" fillId="0" borderId="0" xfId="2"/>
    <xf numFmtId="0" fontId="16" fillId="2" borderId="23" xfId="2" applyFill="1" applyBorder="1" applyAlignment="1">
      <alignment horizontal="center"/>
    </xf>
    <xf numFmtId="0" fontId="16" fillId="3" borderId="23" xfId="2" applyFill="1" applyBorder="1" applyAlignment="1">
      <alignment horizontal="center"/>
    </xf>
    <xf numFmtId="0" fontId="0" fillId="0" borderId="2" xfId="0" applyBorder="1" applyAlignment="1">
      <alignment horizontal="center"/>
    </xf>
    <xf numFmtId="0" fontId="16" fillId="60" borderId="1" xfId="2" applyFill="1" applyBorder="1" applyAlignment="1">
      <alignment horizontal="center"/>
    </xf>
    <xf numFmtId="0" fontId="16" fillId="61" borderId="1" xfId="2" applyFill="1" applyBorder="1" applyAlignment="1">
      <alignment horizontal="center"/>
    </xf>
    <xf numFmtId="0" fontId="0" fillId="62" borderId="2" xfId="0" applyFill="1" applyBorder="1" applyAlignment="1">
      <alignment horizontal="left"/>
    </xf>
    <xf numFmtId="0" fontId="16" fillId="0" borderId="1" xfId="2" applyBorder="1" applyAlignment="1">
      <alignment horizontal="center"/>
    </xf>
    <xf numFmtId="0" fontId="16" fillId="0" borderId="1" xfId="2" applyFont="1" applyBorder="1" applyAlignment="1">
      <alignment horizontal="center"/>
    </xf>
    <xf numFmtId="0" fontId="16" fillId="0" borderId="1" xfId="2" applyBorder="1" applyAlignment="1">
      <alignment horizontal="right"/>
    </xf>
    <xf numFmtId="0" fontId="16" fillId="62" borderId="1" xfId="2" applyFill="1" applyBorder="1" applyAlignment="1">
      <alignment horizontal="right"/>
    </xf>
    <xf numFmtId="0" fontId="16" fillId="0" borderId="25" xfId="2" applyBorder="1" applyAlignment="1">
      <alignment horizontal="center"/>
    </xf>
    <xf numFmtId="0" fontId="16" fillId="60" borderId="25" xfId="2" applyFill="1" applyBorder="1" applyAlignment="1">
      <alignment horizontal="center"/>
    </xf>
    <xf numFmtId="0" fontId="16" fillId="61" borderId="25" xfId="2" applyFill="1" applyBorder="1" applyAlignment="1">
      <alignment horizontal="center"/>
    </xf>
    <xf numFmtId="0" fontId="16" fillId="62" borderId="25" xfId="2" applyFill="1" applyBorder="1" applyAlignment="1">
      <alignment horizontal="left"/>
    </xf>
    <xf numFmtId="0" fontId="16" fillId="0" borderId="25" xfId="2" applyBorder="1" applyAlignment="1">
      <alignment horizontal="right"/>
    </xf>
    <xf numFmtId="0" fontId="16" fillId="62" borderId="25" xfId="2" applyFill="1" applyBorder="1" applyAlignment="1">
      <alignment horizontal="right"/>
    </xf>
    <xf numFmtId="0" fontId="16" fillId="60" borderId="2" xfId="2" applyFill="1" applyBorder="1" applyAlignment="1">
      <alignment horizontal="center"/>
    </xf>
    <xf numFmtId="0" fontId="16" fillId="61" borderId="2" xfId="2" applyFill="1" applyBorder="1" applyAlignment="1">
      <alignment horizontal="center"/>
    </xf>
    <xf numFmtId="0" fontId="16" fillId="0" borderId="2" xfId="2" applyBorder="1" applyAlignment="1">
      <alignment horizontal="center"/>
    </xf>
    <xf numFmtId="0" fontId="16" fillId="0" borderId="2" xfId="2" applyBorder="1" applyAlignment="1">
      <alignment horizontal="right"/>
    </xf>
    <xf numFmtId="0" fontId="16" fillId="62" borderId="2" xfId="2" applyFill="1" applyBorder="1" applyAlignment="1">
      <alignment horizontal="right"/>
    </xf>
    <xf numFmtId="0" fontId="16" fillId="0" borderId="25" xfId="2" applyFont="1" applyBorder="1" applyAlignment="1">
      <alignment horizontal="center"/>
    </xf>
    <xf numFmtId="0" fontId="16" fillId="0" borderId="2" xfId="2" applyFont="1" applyBorder="1" applyAlignment="1">
      <alignment horizontal="center"/>
    </xf>
    <xf numFmtId="0" fontId="16" fillId="0" borderId="25" xfId="2" quotePrefix="1" applyFill="1" applyBorder="1" applyAlignment="1">
      <alignment horizontal="center"/>
    </xf>
    <xf numFmtId="0" fontId="16" fillId="0" borderId="23" xfId="2" applyBorder="1" applyAlignment="1">
      <alignment horizontal="center"/>
    </xf>
    <xf numFmtId="0" fontId="16" fillId="0" borderId="23" xfId="2" applyFont="1" applyBorder="1" applyAlignment="1">
      <alignment horizontal="center"/>
    </xf>
    <xf numFmtId="0" fontId="16" fillId="63" borderId="2" xfId="2" applyFill="1" applyBorder="1" applyAlignment="1">
      <alignment horizontal="center"/>
    </xf>
    <xf numFmtId="0" fontId="16" fillId="63" borderId="25" xfId="2" applyFill="1" applyBorder="1" applyAlignment="1">
      <alignment horizontal="center"/>
    </xf>
    <xf numFmtId="0" fontId="16" fillId="63" borderId="1" xfId="2" applyFill="1" applyBorder="1" applyAlignment="1">
      <alignment horizontal="center"/>
    </xf>
    <xf numFmtId="0" fontId="16" fillId="63" borderId="2" xfId="2" applyFont="1" applyFill="1" applyBorder="1" applyAlignment="1">
      <alignment horizontal="center"/>
    </xf>
    <xf numFmtId="0" fontId="16" fillId="63" borderId="1" xfId="2" applyFont="1" applyFill="1" applyBorder="1" applyAlignment="1">
      <alignment horizontal="center"/>
    </xf>
    <xf numFmtId="0" fontId="16" fillId="63" borderId="25" xfId="2" applyFont="1" applyFill="1" applyBorder="1" applyAlignment="1">
      <alignment horizontal="center"/>
    </xf>
    <xf numFmtId="0" fontId="0" fillId="0" borderId="0" xfId="0" applyAlignment="1">
      <alignment horizontal="center"/>
    </xf>
    <xf numFmtId="0" fontId="16" fillId="0" borderId="2" xfId="0" applyFont="1" applyBorder="1" applyAlignment="1">
      <alignment horizontal="center"/>
    </xf>
    <xf numFmtId="0" fontId="0" fillId="0" borderId="25" xfId="0" applyBorder="1" applyAlignment="1">
      <alignment horizontal="center"/>
    </xf>
    <xf numFmtId="0" fontId="0" fillId="62" borderId="25" xfId="0" applyFill="1" applyBorder="1" applyAlignment="1">
      <alignment horizontal="left"/>
    </xf>
    <xf numFmtId="0" fontId="16" fillId="0" borderId="25" xfId="0" applyFont="1" applyBorder="1" applyAlignment="1">
      <alignment horizontal="center"/>
    </xf>
    <xf numFmtId="0" fontId="0" fillId="0" borderId="0" xfId="0" applyAlignment="1">
      <alignment horizontal="left"/>
    </xf>
    <xf numFmtId="0" fontId="16" fillId="62" borderId="27" xfId="2" applyFill="1" applyBorder="1" applyAlignment="1">
      <alignment horizontal="right"/>
    </xf>
    <xf numFmtId="0" fontId="16" fillId="62" borderId="27" xfId="2" applyFont="1" applyFill="1" applyBorder="1" applyAlignment="1">
      <alignment horizontal="right"/>
    </xf>
    <xf numFmtId="0" fontId="0" fillId="0" borderId="29" xfId="0" applyBorder="1"/>
    <xf numFmtId="0" fontId="16" fillId="62" borderId="2" xfId="2" applyFont="1" applyFill="1" applyBorder="1" applyAlignment="1">
      <alignment horizontal="right"/>
    </xf>
    <xf numFmtId="0" fontId="16" fillId="62" borderId="1" xfId="2" applyFont="1" applyFill="1" applyBorder="1" applyAlignment="1">
      <alignment horizontal="right"/>
    </xf>
    <xf numFmtId="0" fontId="16" fillId="62" borderId="25" xfId="2" applyFont="1" applyFill="1" applyBorder="1" applyAlignment="1">
      <alignment horizontal="right"/>
    </xf>
    <xf numFmtId="0" fontId="0" fillId="0" borderId="0" xfId="0"/>
    <xf numFmtId="0" fontId="18" fillId="2" borderId="4" xfId="1" applyFont="1" applyFill="1" applyBorder="1" applyAlignment="1">
      <alignment horizontal="center"/>
    </xf>
    <xf numFmtId="0" fontId="16" fillId="0" borderId="0" xfId="1" applyBorder="1"/>
    <xf numFmtId="0" fontId="16" fillId="2" borderId="1" xfId="1" applyFont="1" applyFill="1" applyBorder="1" applyAlignment="1">
      <alignment horizontal="center"/>
    </xf>
    <xf numFmtId="0" fontId="16" fillId="3" borderId="1" xfId="1" applyFont="1" applyFill="1" applyBorder="1" applyAlignment="1">
      <alignment horizontal="center"/>
    </xf>
    <xf numFmtId="0" fontId="18" fillId="2" borderId="1" xfId="1" applyFont="1" applyFill="1" applyBorder="1" applyAlignment="1">
      <alignment horizontal="center"/>
    </xf>
    <xf numFmtId="0" fontId="18" fillId="2" borderId="3" xfId="1" applyFont="1" applyFill="1" applyBorder="1" applyAlignment="1">
      <alignment horizontal="center" vertical="center"/>
    </xf>
    <xf numFmtId="0" fontId="18" fillId="2" borderId="22" xfId="1" applyFont="1" applyFill="1" applyBorder="1" applyAlignment="1">
      <alignment horizontal="center" vertical="center" wrapText="1"/>
    </xf>
    <xf numFmtId="0" fontId="16" fillId="2" borderId="2" xfId="1" applyFont="1" applyFill="1" applyBorder="1" applyAlignment="1">
      <alignment horizontal="center" vertical="center"/>
    </xf>
    <xf numFmtId="0" fontId="16" fillId="0" borderId="24" xfId="0" applyFont="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16" fillId="3" borderId="28" xfId="2" applyFill="1" applyBorder="1" applyAlignment="1">
      <alignment horizontal="center"/>
    </xf>
    <xf numFmtId="0" fontId="18" fillId="2" borderId="30" xfId="2" applyFont="1" applyFill="1" applyBorder="1" applyAlignment="1">
      <alignment horizontal="left" vertical="center" wrapText="1"/>
    </xf>
    <xf numFmtId="0" fontId="0" fillId="0" borderId="37" xfId="0" applyBorder="1" applyAlignment="1">
      <alignment horizontal="center"/>
    </xf>
    <xf numFmtId="0" fontId="0" fillId="0" borderId="26" xfId="0" applyBorder="1" applyAlignment="1">
      <alignment horizontal="center"/>
    </xf>
    <xf numFmtId="0" fontId="0" fillId="0" borderId="38" xfId="0" applyBorder="1" applyAlignment="1">
      <alignment horizontal="center"/>
    </xf>
    <xf numFmtId="0" fontId="18" fillId="2" borderId="36" xfId="2" applyFont="1" applyFill="1" applyBorder="1" applyAlignment="1">
      <alignment horizontal="left" vertical="center" wrapText="1"/>
    </xf>
    <xf numFmtId="0" fontId="16" fillId="0" borderId="27" xfId="0" applyFont="1" applyBorder="1" applyAlignment="1">
      <alignment horizontal="center"/>
    </xf>
    <xf numFmtId="0" fontId="0" fillId="0" borderId="29" xfId="0" applyBorder="1" applyAlignment="1">
      <alignment horizontal="center"/>
    </xf>
    <xf numFmtId="0" fontId="55" fillId="64" borderId="1" xfId="0" applyFont="1" applyFill="1" applyBorder="1" applyAlignment="1">
      <alignment horizontal="left"/>
    </xf>
    <xf numFmtId="0" fontId="55" fillId="65" borderId="1" xfId="0" applyFont="1" applyFill="1" applyBorder="1" applyAlignment="1">
      <alignment horizontal="left"/>
    </xf>
    <xf numFmtId="0" fontId="55" fillId="66" borderId="1" xfId="0" applyFont="1" applyFill="1" applyBorder="1" applyAlignment="1">
      <alignment horizontal="left"/>
    </xf>
    <xf numFmtId="0" fontId="18" fillId="67" borderId="1" xfId="0" applyFont="1" applyFill="1" applyBorder="1" applyAlignment="1">
      <alignment horizontal="center" vertical="center" wrapText="1"/>
    </xf>
    <xf numFmtId="0" fontId="18" fillId="67" borderId="1" xfId="0" applyFont="1" applyFill="1" applyBorder="1" applyAlignment="1">
      <alignment horizontal="center" vertical="center" wrapText="1"/>
    </xf>
    <xf numFmtId="0" fontId="18" fillId="67" borderId="1" xfId="0" applyFont="1" applyFill="1" applyBorder="1" applyAlignment="1">
      <alignment horizontal="center" vertical="center" wrapText="1"/>
    </xf>
    <xf numFmtId="0" fontId="18" fillId="67" borderId="40" xfId="0" applyFont="1" applyFill="1" applyBorder="1" applyAlignment="1">
      <alignment horizontal="center" vertical="center" wrapText="1"/>
    </xf>
    <xf numFmtId="0" fontId="18" fillId="67" borderId="0" xfId="0" applyFont="1" applyFill="1" applyBorder="1" applyAlignment="1">
      <alignment horizontal="center" vertical="center" wrapText="1"/>
    </xf>
    <xf numFmtId="0" fontId="16" fillId="3" borderId="1" xfId="1" applyFont="1" applyFill="1" applyBorder="1" applyAlignment="1">
      <alignment horizontal="center" wrapText="1"/>
    </xf>
    <xf numFmtId="16" fontId="16" fillId="0" borderId="2" xfId="0" quotePrefix="1" applyNumberFormat="1" applyFont="1" applyBorder="1" applyAlignment="1">
      <alignment horizontal="center"/>
    </xf>
    <xf numFmtId="0" fontId="16" fillId="0" borderId="25" xfId="0" quotePrefix="1" applyFont="1" applyFill="1" applyBorder="1" applyAlignment="1">
      <alignment horizontal="center"/>
    </xf>
    <xf numFmtId="0" fontId="0" fillId="0" borderId="43" xfId="0" applyBorder="1" applyAlignment="1">
      <alignment horizontal="center"/>
    </xf>
    <xf numFmtId="0" fontId="16" fillId="60" borderId="44" xfId="2" applyFill="1" applyBorder="1" applyAlignment="1">
      <alignment horizontal="center"/>
    </xf>
    <xf numFmtId="0" fontId="16" fillId="63" borderId="44" xfId="2" applyFill="1" applyBorder="1" applyAlignment="1">
      <alignment horizontal="center"/>
    </xf>
    <xf numFmtId="0" fontId="16" fillId="62" borderId="44" xfId="2" applyFill="1" applyBorder="1" applyAlignment="1">
      <alignment horizontal="left"/>
    </xf>
    <xf numFmtId="0" fontId="16" fillId="0" borderId="44" xfId="0" applyFont="1" applyBorder="1" applyAlignment="1">
      <alignment horizontal="center"/>
    </xf>
    <xf numFmtId="0" fontId="16" fillId="0" borderId="44" xfId="2" applyBorder="1" applyAlignment="1">
      <alignment horizontal="center"/>
    </xf>
    <xf numFmtId="0" fontId="16" fillId="0" borderId="44" xfId="2" quotePrefix="1" applyFill="1" applyBorder="1" applyAlignment="1">
      <alignment horizontal="center"/>
    </xf>
    <xf numFmtId="0" fontId="16" fillId="0" borderId="45" xfId="2" applyBorder="1" applyAlignment="1">
      <alignment horizontal="center"/>
    </xf>
    <xf numFmtId="0" fontId="16" fillId="0" borderId="44" xfId="2" applyFont="1" applyBorder="1" applyAlignment="1">
      <alignment horizontal="center"/>
    </xf>
    <xf numFmtId="0" fontId="16" fillId="0" borderId="44" xfId="2" applyBorder="1" applyAlignment="1">
      <alignment horizontal="right"/>
    </xf>
    <xf numFmtId="0" fontId="16" fillId="62" borderId="44" xfId="2" applyFill="1" applyBorder="1" applyAlignment="1">
      <alignment horizontal="right"/>
    </xf>
    <xf numFmtId="0" fontId="16" fillId="62" borderId="44" xfId="2" applyFont="1" applyFill="1" applyBorder="1" applyAlignment="1">
      <alignment horizontal="right"/>
    </xf>
    <xf numFmtId="0" fontId="19" fillId="4" borderId="25" xfId="2" applyFont="1" applyFill="1" applyBorder="1" applyAlignment="1">
      <alignment horizontal="center" vertical="center" wrapText="1"/>
    </xf>
    <xf numFmtId="0" fontId="19" fillId="4" borderId="38" xfId="2" applyFont="1" applyFill="1" applyBorder="1" applyAlignment="1">
      <alignment horizontal="center" vertical="center" wrapText="1"/>
    </xf>
    <xf numFmtId="0" fontId="19" fillId="4" borderId="25" xfId="0" applyFont="1" applyFill="1" applyBorder="1" applyAlignment="1">
      <alignment horizontal="center" vertical="center" wrapText="1"/>
    </xf>
    <xf numFmtId="0" fontId="56" fillId="0" borderId="0" xfId="0" applyFont="1"/>
    <xf numFmtId="0" fontId="19" fillId="4" borderId="39" xfId="0" applyFont="1" applyFill="1" applyBorder="1" applyAlignment="1">
      <alignment horizontal="left" vertical="center" wrapText="1"/>
    </xf>
    <xf numFmtId="0" fontId="19" fillId="4" borderId="25" xfId="0" applyFont="1" applyFill="1" applyBorder="1" applyAlignment="1">
      <alignment horizontal="left" vertical="center" wrapText="1"/>
    </xf>
    <xf numFmtId="0" fontId="19" fillId="4" borderId="39" xfId="0" applyFont="1" applyFill="1" applyBorder="1" applyAlignment="1">
      <alignment horizontal="center" vertical="center" wrapText="1"/>
    </xf>
    <xf numFmtId="0" fontId="56" fillId="0" borderId="0" xfId="0" applyFont="1" applyAlignment="1">
      <alignment vertical="center" wrapText="1"/>
    </xf>
    <xf numFmtId="0" fontId="18" fillId="0" borderId="0" xfId="2" applyFont="1"/>
    <xf numFmtId="0" fontId="58" fillId="69" borderId="47" xfId="2899">
      <alignment horizontal="center" vertical="center" wrapText="1"/>
    </xf>
    <xf numFmtId="0" fontId="18" fillId="69" borderId="1" xfId="2900">
      <alignment horizontal="center" vertical="center" wrapText="1"/>
    </xf>
    <xf numFmtId="0" fontId="55" fillId="66" borderId="1" xfId="2897">
      <alignment horizontal="left"/>
    </xf>
    <xf numFmtId="0" fontId="55" fillId="65" borderId="1" xfId="2895">
      <alignment horizontal="left"/>
      <protection locked="0"/>
    </xf>
    <xf numFmtId="0" fontId="55" fillId="65" borderId="1" xfId="2896">
      <alignment horizontal="center"/>
      <protection locked="0"/>
    </xf>
    <xf numFmtId="0" fontId="16" fillId="0" borderId="0" xfId="0" applyFont="1" applyProtection="1">
      <protection locked="0"/>
    </xf>
    <xf numFmtId="0" fontId="18" fillId="0" borderId="0" xfId="0" applyFont="1" applyProtection="1">
      <protection locked="0"/>
    </xf>
    <xf numFmtId="0" fontId="58" fillId="69" borderId="48" xfId="2899" applyBorder="1">
      <alignment horizontal="center" vertical="center" wrapText="1"/>
    </xf>
    <xf numFmtId="0" fontId="58" fillId="69" borderId="49" xfId="2899" applyBorder="1">
      <alignment horizontal="center" vertical="center" wrapText="1"/>
    </xf>
    <xf numFmtId="0" fontId="58" fillId="69" borderId="50" xfId="2899" applyBorder="1">
      <alignment horizontal="center" vertical="center" wrapText="1"/>
    </xf>
    <xf numFmtId="0" fontId="18" fillId="69" borderId="51" xfId="2900" applyBorder="1">
      <alignment horizontal="center" vertical="center" wrapText="1"/>
    </xf>
    <xf numFmtId="0" fontId="18" fillId="69" borderId="32" xfId="2900" applyBorder="1">
      <alignment horizontal="center" vertical="center" wrapText="1"/>
    </xf>
    <xf numFmtId="0" fontId="18" fillId="70" borderId="1" xfId="0" applyFont="1" applyFill="1" applyBorder="1" applyAlignment="1">
      <alignment horizontal="center" vertical="center" wrapText="1"/>
    </xf>
    <xf numFmtId="0" fontId="18" fillId="70" borderId="1" xfId="0" applyFont="1" applyFill="1" applyBorder="1" applyAlignment="1">
      <alignment horizontal="left" vertical="center" wrapText="1"/>
    </xf>
    <xf numFmtId="0" fontId="18" fillId="71" borderId="1" xfId="0" applyFont="1" applyFill="1" applyBorder="1" applyAlignment="1">
      <alignment horizontal="left" vertical="center" wrapText="1"/>
    </xf>
    <xf numFmtId="0" fontId="58" fillId="69" borderId="47" xfId="2899" applyAlignment="1">
      <alignment horizontal="left" vertical="center" wrapText="1"/>
    </xf>
    <xf numFmtId="0" fontId="18" fillId="70" borderId="1" xfId="2892">
      <alignment horizontal="center" vertical="center" wrapText="1"/>
    </xf>
    <xf numFmtId="0" fontId="58" fillId="69" borderId="47" xfId="2899">
      <alignment horizontal="center" vertical="center" wrapText="1"/>
    </xf>
    <xf numFmtId="0" fontId="18" fillId="2" borderId="34" xfId="2" applyFont="1" applyFill="1" applyBorder="1" applyAlignment="1">
      <alignment vertical="top" wrapText="1"/>
    </xf>
    <xf numFmtId="0" fontId="18" fillId="2" borderId="35" xfId="2" applyFont="1" applyFill="1" applyBorder="1" applyAlignment="1">
      <alignment vertical="top"/>
    </xf>
    <xf numFmtId="0" fontId="18" fillId="2" borderId="36" xfId="2" applyFont="1" applyFill="1" applyBorder="1" applyAlignment="1">
      <alignment vertical="top"/>
    </xf>
    <xf numFmtId="0" fontId="18" fillId="68" borderId="34" xfId="2" applyFont="1" applyFill="1" applyBorder="1" applyAlignment="1">
      <alignment vertical="top" wrapText="1"/>
    </xf>
    <xf numFmtId="0" fontId="18" fillId="68" borderId="35" xfId="2" applyFont="1" applyFill="1" applyBorder="1" applyAlignment="1">
      <alignment vertical="top"/>
    </xf>
    <xf numFmtId="0" fontId="18" fillId="68" borderId="46" xfId="2" applyFont="1" applyFill="1" applyBorder="1" applyAlignment="1">
      <alignment vertical="top"/>
    </xf>
    <xf numFmtId="0" fontId="18" fillId="68" borderId="35" xfId="2" applyFont="1" applyFill="1" applyBorder="1" applyAlignment="1">
      <alignment vertical="center" wrapText="1"/>
    </xf>
    <xf numFmtId="0" fontId="18" fillId="68" borderId="35" xfId="2" applyFont="1" applyFill="1" applyBorder="1" applyAlignment="1">
      <alignment vertical="center"/>
    </xf>
    <xf numFmtId="0" fontId="18" fillId="68" borderId="36" xfId="2" applyFont="1" applyFill="1" applyBorder="1" applyAlignment="1">
      <alignment vertical="center"/>
    </xf>
    <xf numFmtId="0" fontId="18" fillId="2" borderId="36" xfId="2" applyFont="1" applyFill="1" applyBorder="1" applyAlignment="1">
      <alignment vertical="top" wrapText="1"/>
    </xf>
    <xf numFmtId="0" fontId="18" fillId="2" borderId="3" xfId="1" applyFont="1" applyFill="1" applyBorder="1" applyAlignment="1">
      <alignment horizontal="center" vertical="center"/>
    </xf>
    <xf numFmtId="0" fontId="18" fillId="2" borderId="2" xfId="1" applyFont="1" applyFill="1" applyBorder="1" applyAlignment="1">
      <alignment horizontal="center" vertical="center"/>
    </xf>
    <xf numFmtId="0" fontId="18" fillId="2" borderId="22" xfId="1" applyFont="1" applyFill="1" applyBorder="1" applyAlignment="1">
      <alignment horizontal="center" vertical="center" wrapText="1"/>
    </xf>
    <xf numFmtId="0" fontId="18" fillId="2" borderId="2" xfId="1" applyFont="1" applyFill="1" applyBorder="1" applyAlignment="1">
      <alignment horizontal="center" vertical="center" wrapText="1"/>
    </xf>
    <xf numFmtId="0" fontId="18" fillId="2" borderId="3" xfId="1"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16" fillId="0" borderId="1" xfId="0" applyFont="1" applyBorder="1" applyAlignment="1">
      <alignment horizontal="center" vertical="center"/>
    </xf>
    <xf numFmtId="0" fontId="18" fillId="67" borderId="41" xfId="0" applyFont="1" applyFill="1" applyBorder="1" applyAlignment="1">
      <alignment horizontal="center" vertical="center" wrapText="1"/>
    </xf>
    <xf numFmtId="0" fontId="18" fillId="67" borderId="42" xfId="0" applyFont="1" applyFill="1" applyBorder="1" applyAlignment="1">
      <alignment horizontal="center" vertical="center" wrapText="1"/>
    </xf>
    <xf numFmtId="0" fontId="18" fillId="67" borderId="37" xfId="0" applyFont="1" applyFill="1" applyBorder="1" applyAlignment="1">
      <alignment horizontal="center" vertical="center" wrapText="1"/>
    </xf>
    <xf numFmtId="0" fontId="18" fillId="67" borderId="1" xfId="0" applyFont="1" applyFill="1" applyBorder="1" applyAlignment="1">
      <alignment horizontal="center" vertical="center" wrapText="1"/>
    </xf>
    <xf numFmtId="0" fontId="16" fillId="65" borderId="1" xfId="0" applyFont="1" applyFill="1" applyBorder="1" applyProtection="1">
      <protection locked="0"/>
    </xf>
  </cellXfs>
  <cellStyles count="2902">
    <cellStyle name="20% - Accent1" xfId="87" builtinId="30" customBuiltin="1"/>
    <cellStyle name="20% - Accent1 2" xfId="10"/>
    <cellStyle name="20% - Accent1 3" xfId="113"/>
    <cellStyle name="20% - Accent1 3 2" xfId="191"/>
    <cellStyle name="20% - Accent1 3 2 2" xfId="327"/>
    <cellStyle name="20% - Accent1 3 2 2 2" xfId="843"/>
    <cellStyle name="20% - Accent1 3 2 2 2 2" xfId="2247"/>
    <cellStyle name="20% - Accent1 3 2 2 3" xfId="1287"/>
    <cellStyle name="20% - Accent1 3 2 2 3 2" xfId="2691"/>
    <cellStyle name="20% - Accent1 3 2 2 4" xfId="1731"/>
    <cellStyle name="20% - Accent1 3 2 3" xfId="499"/>
    <cellStyle name="20% - Accent1 3 2 3 2" xfId="943"/>
    <cellStyle name="20% - Accent1 3 2 3 2 2" xfId="2347"/>
    <cellStyle name="20% - Accent1 3 2 3 3" xfId="1387"/>
    <cellStyle name="20% - Accent1 3 2 3 3 2" xfId="2791"/>
    <cellStyle name="20% - Accent1 3 2 3 4" xfId="1903"/>
    <cellStyle name="20% - Accent1 3 2 4" xfId="671"/>
    <cellStyle name="20% - Accent1 3 2 4 2" xfId="2075"/>
    <cellStyle name="20% - Accent1 3 2 5" xfId="1115"/>
    <cellStyle name="20% - Accent1 3 2 5 2" xfId="2519"/>
    <cellStyle name="20% - Accent1 3 2 6" xfId="1595"/>
    <cellStyle name="20% - Accent1 3 3" xfId="250"/>
    <cellStyle name="20% - Accent1 3 3 2" xfId="766"/>
    <cellStyle name="20% - Accent1 3 3 2 2" xfId="2170"/>
    <cellStyle name="20% - Accent1 3 3 3" xfId="1210"/>
    <cellStyle name="20% - Accent1 3 3 3 2" xfId="2614"/>
    <cellStyle name="20% - Accent1 3 3 4" xfId="1654"/>
    <cellStyle name="20% - Accent1 3 4" xfId="422"/>
    <cellStyle name="20% - Accent1 3 4 2" xfId="887"/>
    <cellStyle name="20% - Accent1 3 4 2 2" xfId="2291"/>
    <cellStyle name="20% - Accent1 3 4 3" xfId="1331"/>
    <cellStyle name="20% - Accent1 3 4 3 2" xfId="2735"/>
    <cellStyle name="20% - Accent1 3 4 4" xfId="1826"/>
    <cellStyle name="20% - Accent1 3 5" xfId="594"/>
    <cellStyle name="20% - Accent1 3 5 2" xfId="1998"/>
    <cellStyle name="20% - Accent1 3 6" xfId="1038"/>
    <cellStyle name="20% - Accent1 3 6 2" xfId="2442"/>
    <cellStyle name="20% - Accent1 3 7" xfId="1518"/>
    <cellStyle name="20% - Accent1 4" xfId="161"/>
    <cellStyle name="20% - Accent1 4 2" xfId="297"/>
    <cellStyle name="20% - Accent1 4 2 2" xfId="813"/>
    <cellStyle name="20% - Accent1 4 2 2 2" xfId="2217"/>
    <cellStyle name="20% - Accent1 4 2 3" xfId="1257"/>
    <cellStyle name="20% - Accent1 4 2 3 2" xfId="2661"/>
    <cellStyle name="20% - Accent1 4 2 4" xfId="1701"/>
    <cellStyle name="20% - Accent1 4 3" xfId="469"/>
    <cellStyle name="20% - Accent1 4 3 2" xfId="913"/>
    <cellStyle name="20% - Accent1 4 3 2 2" xfId="2317"/>
    <cellStyle name="20% - Accent1 4 3 3" xfId="1357"/>
    <cellStyle name="20% - Accent1 4 3 3 2" xfId="2761"/>
    <cellStyle name="20% - Accent1 4 3 4" xfId="1873"/>
    <cellStyle name="20% - Accent1 4 4" xfId="641"/>
    <cellStyle name="20% - Accent1 4 4 2" xfId="2045"/>
    <cellStyle name="20% - Accent1 4 5" xfId="1085"/>
    <cellStyle name="20% - Accent1 4 5 2" xfId="2489"/>
    <cellStyle name="20% - Accent1 4 6" xfId="1565"/>
    <cellStyle name="20% - Accent1 5" xfId="235"/>
    <cellStyle name="20% - Accent1 5 2" xfId="736"/>
    <cellStyle name="20% - Accent1 5 2 2" xfId="2140"/>
    <cellStyle name="20% - Accent1 5 3" xfId="1180"/>
    <cellStyle name="20% - Accent1 5 3 2" xfId="2584"/>
    <cellStyle name="20% - Accent1 5 4" xfId="1639"/>
    <cellStyle name="20% - Accent1 6" xfId="392"/>
    <cellStyle name="20% - Accent1 6 2" xfId="872"/>
    <cellStyle name="20% - Accent1 6 2 2" xfId="2276"/>
    <cellStyle name="20% - Accent1 6 3" xfId="1316"/>
    <cellStyle name="20% - Accent1 6 3 2" xfId="2720"/>
    <cellStyle name="20% - Accent1 6 4" xfId="1796"/>
    <cellStyle name="20% - Accent1 7" xfId="564"/>
    <cellStyle name="20% - Accent1 7 2" xfId="1968"/>
    <cellStyle name="20% - Accent1 8" xfId="1008"/>
    <cellStyle name="20% - Accent1 8 2" xfId="2412"/>
    <cellStyle name="20% - Accent1 9" xfId="1503"/>
    <cellStyle name="20% - Accent2" xfId="91" builtinId="34" customBuiltin="1"/>
    <cellStyle name="20% - Accent2 2" xfId="11"/>
    <cellStyle name="20% - Accent2 3" xfId="115"/>
    <cellStyle name="20% - Accent2 3 2" xfId="193"/>
    <cellStyle name="20% - Accent2 3 2 2" xfId="329"/>
    <cellStyle name="20% - Accent2 3 2 2 2" xfId="845"/>
    <cellStyle name="20% - Accent2 3 2 2 2 2" xfId="2249"/>
    <cellStyle name="20% - Accent2 3 2 2 3" xfId="1289"/>
    <cellStyle name="20% - Accent2 3 2 2 3 2" xfId="2693"/>
    <cellStyle name="20% - Accent2 3 2 2 4" xfId="1733"/>
    <cellStyle name="20% - Accent2 3 2 3" xfId="501"/>
    <cellStyle name="20% - Accent2 3 2 3 2" xfId="945"/>
    <cellStyle name="20% - Accent2 3 2 3 2 2" xfId="2349"/>
    <cellStyle name="20% - Accent2 3 2 3 3" xfId="1389"/>
    <cellStyle name="20% - Accent2 3 2 3 3 2" xfId="2793"/>
    <cellStyle name="20% - Accent2 3 2 3 4" xfId="1905"/>
    <cellStyle name="20% - Accent2 3 2 4" xfId="673"/>
    <cellStyle name="20% - Accent2 3 2 4 2" xfId="2077"/>
    <cellStyle name="20% - Accent2 3 2 5" xfId="1117"/>
    <cellStyle name="20% - Accent2 3 2 5 2" xfId="2521"/>
    <cellStyle name="20% - Accent2 3 2 6" xfId="1597"/>
    <cellStyle name="20% - Accent2 3 3" xfId="252"/>
    <cellStyle name="20% - Accent2 3 3 2" xfId="768"/>
    <cellStyle name="20% - Accent2 3 3 2 2" xfId="2172"/>
    <cellStyle name="20% - Accent2 3 3 3" xfId="1212"/>
    <cellStyle name="20% - Accent2 3 3 3 2" xfId="2616"/>
    <cellStyle name="20% - Accent2 3 3 4" xfId="1656"/>
    <cellStyle name="20% - Accent2 3 4" xfId="424"/>
    <cellStyle name="20% - Accent2 3 4 2" xfId="889"/>
    <cellStyle name="20% - Accent2 3 4 2 2" xfId="2293"/>
    <cellStyle name="20% - Accent2 3 4 3" xfId="1333"/>
    <cellStyle name="20% - Accent2 3 4 3 2" xfId="2737"/>
    <cellStyle name="20% - Accent2 3 4 4" xfId="1828"/>
    <cellStyle name="20% - Accent2 3 5" xfId="596"/>
    <cellStyle name="20% - Accent2 3 5 2" xfId="2000"/>
    <cellStyle name="20% - Accent2 3 6" xfId="1040"/>
    <cellStyle name="20% - Accent2 3 6 2" xfId="2444"/>
    <cellStyle name="20% - Accent2 3 7" xfId="1520"/>
    <cellStyle name="20% - Accent2 4" xfId="163"/>
    <cellStyle name="20% - Accent2 4 2" xfId="299"/>
    <cellStyle name="20% - Accent2 4 2 2" xfId="815"/>
    <cellStyle name="20% - Accent2 4 2 2 2" xfId="2219"/>
    <cellStyle name="20% - Accent2 4 2 3" xfId="1259"/>
    <cellStyle name="20% - Accent2 4 2 3 2" xfId="2663"/>
    <cellStyle name="20% - Accent2 4 2 4" xfId="1703"/>
    <cellStyle name="20% - Accent2 4 3" xfId="471"/>
    <cellStyle name="20% - Accent2 4 3 2" xfId="915"/>
    <cellStyle name="20% - Accent2 4 3 2 2" xfId="2319"/>
    <cellStyle name="20% - Accent2 4 3 3" xfId="1359"/>
    <cellStyle name="20% - Accent2 4 3 3 2" xfId="2763"/>
    <cellStyle name="20% - Accent2 4 3 4" xfId="1875"/>
    <cellStyle name="20% - Accent2 4 4" xfId="643"/>
    <cellStyle name="20% - Accent2 4 4 2" xfId="2047"/>
    <cellStyle name="20% - Accent2 4 5" xfId="1087"/>
    <cellStyle name="20% - Accent2 4 5 2" xfId="2491"/>
    <cellStyle name="20% - Accent2 4 6" xfId="1567"/>
    <cellStyle name="20% - Accent2 5" xfId="237"/>
    <cellStyle name="20% - Accent2 5 2" xfId="738"/>
    <cellStyle name="20% - Accent2 5 2 2" xfId="2142"/>
    <cellStyle name="20% - Accent2 5 3" xfId="1182"/>
    <cellStyle name="20% - Accent2 5 3 2" xfId="2586"/>
    <cellStyle name="20% - Accent2 5 4" xfId="1641"/>
    <cellStyle name="20% - Accent2 6" xfId="394"/>
    <cellStyle name="20% - Accent2 6 2" xfId="874"/>
    <cellStyle name="20% - Accent2 6 2 2" xfId="2278"/>
    <cellStyle name="20% - Accent2 6 3" xfId="1318"/>
    <cellStyle name="20% - Accent2 6 3 2" xfId="2722"/>
    <cellStyle name="20% - Accent2 6 4" xfId="1798"/>
    <cellStyle name="20% - Accent2 7" xfId="566"/>
    <cellStyle name="20% - Accent2 7 2" xfId="1970"/>
    <cellStyle name="20% - Accent2 8" xfId="1010"/>
    <cellStyle name="20% - Accent2 8 2" xfId="2414"/>
    <cellStyle name="20% - Accent2 9" xfId="1505"/>
    <cellStyle name="20% - Accent3" xfId="95" builtinId="38" customBuiltin="1"/>
    <cellStyle name="20% - Accent3 2" xfId="12"/>
    <cellStyle name="20% - Accent3 3" xfId="117"/>
    <cellStyle name="20% - Accent3 3 2" xfId="195"/>
    <cellStyle name="20% - Accent3 3 2 2" xfId="331"/>
    <cellStyle name="20% - Accent3 3 2 2 2" xfId="847"/>
    <cellStyle name="20% - Accent3 3 2 2 2 2" xfId="2251"/>
    <cellStyle name="20% - Accent3 3 2 2 3" xfId="1291"/>
    <cellStyle name="20% - Accent3 3 2 2 3 2" xfId="2695"/>
    <cellStyle name="20% - Accent3 3 2 2 4" xfId="1735"/>
    <cellStyle name="20% - Accent3 3 2 3" xfId="503"/>
    <cellStyle name="20% - Accent3 3 2 3 2" xfId="947"/>
    <cellStyle name="20% - Accent3 3 2 3 2 2" xfId="2351"/>
    <cellStyle name="20% - Accent3 3 2 3 3" xfId="1391"/>
    <cellStyle name="20% - Accent3 3 2 3 3 2" xfId="2795"/>
    <cellStyle name="20% - Accent3 3 2 3 4" xfId="1907"/>
    <cellStyle name="20% - Accent3 3 2 4" xfId="675"/>
    <cellStyle name="20% - Accent3 3 2 4 2" xfId="2079"/>
    <cellStyle name="20% - Accent3 3 2 5" xfId="1119"/>
    <cellStyle name="20% - Accent3 3 2 5 2" xfId="2523"/>
    <cellStyle name="20% - Accent3 3 2 6" xfId="1599"/>
    <cellStyle name="20% - Accent3 3 3" xfId="254"/>
    <cellStyle name="20% - Accent3 3 3 2" xfId="770"/>
    <cellStyle name="20% - Accent3 3 3 2 2" xfId="2174"/>
    <cellStyle name="20% - Accent3 3 3 3" xfId="1214"/>
    <cellStyle name="20% - Accent3 3 3 3 2" xfId="2618"/>
    <cellStyle name="20% - Accent3 3 3 4" xfId="1658"/>
    <cellStyle name="20% - Accent3 3 4" xfId="426"/>
    <cellStyle name="20% - Accent3 3 4 2" xfId="891"/>
    <cellStyle name="20% - Accent3 3 4 2 2" xfId="2295"/>
    <cellStyle name="20% - Accent3 3 4 3" xfId="1335"/>
    <cellStyle name="20% - Accent3 3 4 3 2" xfId="2739"/>
    <cellStyle name="20% - Accent3 3 4 4" xfId="1830"/>
    <cellStyle name="20% - Accent3 3 5" xfId="598"/>
    <cellStyle name="20% - Accent3 3 5 2" xfId="2002"/>
    <cellStyle name="20% - Accent3 3 6" xfId="1042"/>
    <cellStyle name="20% - Accent3 3 6 2" xfId="2446"/>
    <cellStyle name="20% - Accent3 3 7" xfId="1522"/>
    <cellStyle name="20% - Accent3 4" xfId="165"/>
    <cellStyle name="20% - Accent3 4 2" xfId="301"/>
    <cellStyle name="20% - Accent3 4 2 2" xfId="817"/>
    <cellStyle name="20% - Accent3 4 2 2 2" xfId="2221"/>
    <cellStyle name="20% - Accent3 4 2 3" xfId="1261"/>
    <cellStyle name="20% - Accent3 4 2 3 2" xfId="2665"/>
    <cellStyle name="20% - Accent3 4 2 4" xfId="1705"/>
    <cellStyle name="20% - Accent3 4 3" xfId="473"/>
    <cellStyle name="20% - Accent3 4 3 2" xfId="917"/>
    <cellStyle name="20% - Accent3 4 3 2 2" xfId="2321"/>
    <cellStyle name="20% - Accent3 4 3 3" xfId="1361"/>
    <cellStyle name="20% - Accent3 4 3 3 2" xfId="2765"/>
    <cellStyle name="20% - Accent3 4 3 4" xfId="1877"/>
    <cellStyle name="20% - Accent3 4 4" xfId="645"/>
    <cellStyle name="20% - Accent3 4 4 2" xfId="2049"/>
    <cellStyle name="20% - Accent3 4 5" xfId="1089"/>
    <cellStyle name="20% - Accent3 4 5 2" xfId="2493"/>
    <cellStyle name="20% - Accent3 4 6" xfId="1569"/>
    <cellStyle name="20% - Accent3 5" xfId="239"/>
    <cellStyle name="20% - Accent3 5 2" xfId="740"/>
    <cellStyle name="20% - Accent3 5 2 2" xfId="2144"/>
    <cellStyle name="20% - Accent3 5 3" xfId="1184"/>
    <cellStyle name="20% - Accent3 5 3 2" xfId="2588"/>
    <cellStyle name="20% - Accent3 5 4" xfId="1643"/>
    <cellStyle name="20% - Accent3 6" xfId="396"/>
    <cellStyle name="20% - Accent3 6 2" xfId="876"/>
    <cellStyle name="20% - Accent3 6 2 2" xfId="2280"/>
    <cellStyle name="20% - Accent3 6 3" xfId="1320"/>
    <cellStyle name="20% - Accent3 6 3 2" xfId="2724"/>
    <cellStyle name="20% - Accent3 6 4" xfId="1800"/>
    <cellStyle name="20% - Accent3 7" xfId="568"/>
    <cellStyle name="20% - Accent3 7 2" xfId="1972"/>
    <cellStyle name="20% - Accent3 8" xfId="1012"/>
    <cellStyle name="20% - Accent3 8 2" xfId="2416"/>
    <cellStyle name="20% - Accent3 9" xfId="1507"/>
    <cellStyle name="20% - Accent4" xfId="99" builtinId="42" customBuiltin="1"/>
    <cellStyle name="20% - Accent4 2" xfId="13"/>
    <cellStyle name="20% - Accent4 3" xfId="119"/>
    <cellStyle name="20% - Accent4 3 2" xfId="197"/>
    <cellStyle name="20% - Accent4 3 2 2" xfId="333"/>
    <cellStyle name="20% - Accent4 3 2 2 2" xfId="849"/>
    <cellStyle name="20% - Accent4 3 2 2 2 2" xfId="2253"/>
    <cellStyle name="20% - Accent4 3 2 2 3" xfId="1293"/>
    <cellStyle name="20% - Accent4 3 2 2 3 2" xfId="2697"/>
    <cellStyle name="20% - Accent4 3 2 2 4" xfId="1737"/>
    <cellStyle name="20% - Accent4 3 2 3" xfId="505"/>
    <cellStyle name="20% - Accent4 3 2 3 2" xfId="949"/>
    <cellStyle name="20% - Accent4 3 2 3 2 2" xfId="2353"/>
    <cellStyle name="20% - Accent4 3 2 3 3" xfId="1393"/>
    <cellStyle name="20% - Accent4 3 2 3 3 2" xfId="2797"/>
    <cellStyle name="20% - Accent4 3 2 3 4" xfId="1909"/>
    <cellStyle name="20% - Accent4 3 2 4" xfId="677"/>
    <cellStyle name="20% - Accent4 3 2 4 2" xfId="2081"/>
    <cellStyle name="20% - Accent4 3 2 5" xfId="1121"/>
    <cellStyle name="20% - Accent4 3 2 5 2" xfId="2525"/>
    <cellStyle name="20% - Accent4 3 2 6" xfId="1601"/>
    <cellStyle name="20% - Accent4 3 3" xfId="256"/>
    <cellStyle name="20% - Accent4 3 3 2" xfId="772"/>
    <cellStyle name="20% - Accent4 3 3 2 2" xfId="2176"/>
    <cellStyle name="20% - Accent4 3 3 3" xfId="1216"/>
    <cellStyle name="20% - Accent4 3 3 3 2" xfId="2620"/>
    <cellStyle name="20% - Accent4 3 3 4" xfId="1660"/>
    <cellStyle name="20% - Accent4 3 4" xfId="428"/>
    <cellStyle name="20% - Accent4 3 4 2" xfId="893"/>
    <cellStyle name="20% - Accent4 3 4 2 2" xfId="2297"/>
    <cellStyle name="20% - Accent4 3 4 3" xfId="1337"/>
    <cellStyle name="20% - Accent4 3 4 3 2" xfId="2741"/>
    <cellStyle name="20% - Accent4 3 4 4" xfId="1832"/>
    <cellStyle name="20% - Accent4 3 5" xfId="600"/>
    <cellStyle name="20% - Accent4 3 5 2" xfId="2004"/>
    <cellStyle name="20% - Accent4 3 6" xfId="1044"/>
    <cellStyle name="20% - Accent4 3 6 2" xfId="2448"/>
    <cellStyle name="20% - Accent4 3 7" xfId="1524"/>
    <cellStyle name="20% - Accent4 4" xfId="167"/>
    <cellStyle name="20% - Accent4 4 2" xfId="303"/>
    <cellStyle name="20% - Accent4 4 2 2" xfId="819"/>
    <cellStyle name="20% - Accent4 4 2 2 2" xfId="2223"/>
    <cellStyle name="20% - Accent4 4 2 3" xfId="1263"/>
    <cellStyle name="20% - Accent4 4 2 3 2" xfId="2667"/>
    <cellStyle name="20% - Accent4 4 2 4" xfId="1707"/>
    <cellStyle name="20% - Accent4 4 3" xfId="475"/>
    <cellStyle name="20% - Accent4 4 3 2" xfId="919"/>
    <cellStyle name="20% - Accent4 4 3 2 2" xfId="2323"/>
    <cellStyle name="20% - Accent4 4 3 3" xfId="1363"/>
    <cellStyle name="20% - Accent4 4 3 3 2" xfId="2767"/>
    <cellStyle name="20% - Accent4 4 3 4" xfId="1879"/>
    <cellStyle name="20% - Accent4 4 4" xfId="647"/>
    <cellStyle name="20% - Accent4 4 4 2" xfId="2051"/>
    <cellStyle name="20% - Accent4 4 5" xfId="1091"/>
    <cellStyle name="20% - Accent4 4 5 2" xfId="2495"/>
    <cellStyle name="20% - Accent4 4 6" xfId="1571"/>
    <cellStyle name="20% - Accent4 5" xfId="241"/>
    <cellStyle name="20% - Accent4 5 2" xfId="742"/>
    <cellStyle name="20% - Accent4 5 2 2" xfId="2146"/>
    <cellStyle name="20% - Accent4 5 3" xfId="1186"/>
    <cellStyle name="20% - Accent4 5 3 2" xfId="2590"/>
    <cellStyle name="20% - Accent4 5 4" xfId="1645"/>
    <cellStyle name="20% - Accent4 6" xfId="398"/>
    <cellStyle name="20% - Accent4 6 2" xfId="878"/>
    <cellStyle name="20% - Accent4 6 2 2" xfId="2282"/>
    <cellStyle name="20% - Accent4 6 3" xfId="1322"/>
    <cellStyle name="20% - Accent4 6 3 2" xfId="2726"/>
    <cellStyle name="20% - Accent4 6 4" xfId="1802"/>
    <cellStyle name="20% - Accent4 7" xfId="570"/>
    <cellStyle name="20% - Accent4 7 2" xfId="1974"/>
    <cellStyle name="20% - Accent4 8" xfId="1014"/>
    <cellStyle name="20% - Accent4 8 2" xfId="2418"/>
    <cellStyle name="20% - Accent4 9" xfId="1509"/>
    <cellStyle name="20% - Accent5" xfId="103" builtinId="46" customBuiltin="1"/>
    <cellStyle name="20% - Accent5 2" xfId="14"/>
    <cellStyle name="20% - Accent5 3" xfId="121"/>
    <cellStyle name="20% - Accent5 3 2" xfId="199"/>
    <cellStyle name="20% - Accent5 3 2 2" xfId="335"/>
    <cellStyle name="20% - Accent5 3 2 2 2" xfId="851"/>
    <cellStyle name="20% - Accent5 3 2 2 2 2" xfId="2255"/>
    <cellStyle name="20% - Accent5 3 2 2 3" xfId="1295"/>
    <cellStyle name="20% - Accent5 3 2 2 3 2" xfId="2699"/>
    <cellStyle name="20% - Accent5 3 2 2 4" xfId="1739"/>
    <cellStyle name="20% - Accent5 3 2 3" xfId="507"/>
    <cellStyle name="20% - Accent5 3 2 3 2" xfId="951"/>
    <cellStyle name="20% - Accent5 3 2 3 2 2" xfId="2355"/>
    <cellStyle name="20% - Accent5 3 2 3 3" xfId="1395"/>
    <cellStyle name="20% - Accent5 3 2 3 3 2" xfId="2799"/>
    <cellStyle name="20% - Accent5 3 2 3 4" xfId="1911"/>
    <cellStyle name="20% - Accent5 3 2 4" xfId="679"/>
    <cellStyle name="20% - Accent5 3 2 4 2" xfId="2083"/>
    <cellStyle name="20% - Accent5 3 2 5" xfId="1123"/>
    <cellStyle name="20% - Accent5 3 2 5 2" xfId="2527"/>
    <cellStyle name="20% - Accent5 3 2 6" xfId="1603"/>
    <cellStyle name="20% - Accent5 3 3" xfId="258"/>
    <cellStyle name="20% - Accent5 3 3 2" xfId="774"/>
    <cellStyle name="20% - Accent5 3 3 2 2" xfId="2178"/>
    <cellStyle name="20% - Accent5 3 3 3" xfId="1218"/>
    <cellStyle name="20% - Accent5 3 3 3 2" xfId="2622"/>
    <cellStyle name="20% - Accent5 3 3 4" xfId="1662"/>
    <cellStyle name="20% - Accent5 3 4" xfId="430"/>
    <cellStyle name="20% - Accent5 3 4 2" xfId="895"/>
    <cellStyle name="20% - Accent5 3 4 2 2" xfId="2299"/>
    <cellStyle name="20% - Accent5 3 4 3" xfId="1339"/>
    <cellStyle name="20% - Accent5 3 4 3 2" xfId="2743"/>
    <cellStyle name="20% - Accent5 3 4 4" xfId="1834"/>
    <cellStyle name="20% - Accent5 3 5" xfId="602"/>
    <cellStyle name="20% - Accent5 3 5 2" xfId="2006"/>
    <cellStyle name="20% - Accent5 3 6" xfId="1046"/>
    <cellStyle name="20% - Accent5 3 6 2" xfId="2450"/>
    <cellStyle name="20% - Accent5 3 7" xfId="1526"/>
    <cellStyle name="20% - Accent5 4" xfId="169"/>
    <cellStyle name="20% - Accent5 4 2" xfId="305"/>
    <cellStyle name="20% - Accent5 4 2 2" xfId="821"/>
    <cellStyle name="20% - Accent5 4 2 2 2" xfId="2225"/>
    <cellStyle name="20% - Accent5 4 2 3" xfId="1265"/>
    <cellStyle name="20% - Accent5 4 2 3 2" xfId="2669"/>
    <cellStyle name="20% - Accent5 4 2 4" xfId="1709"/>
    <cellStyle name="20% - Accent5 4 3" xfId="477"/>
    <cellStyle name="20% - Accent5 4 3 2" xfId="921"/>
    <cellStyle name="20% - Accent5 4 3 2 2" xfId="2325"/>
    <cellStyle name="20% - Accent5 4 3 3" xfId="1365"/>
    <cellStyle name="20% - Accent5 4 3 3 2" xfId="2769"/>
    <cellStyle name="20% - Accent5 4 3 4" xfId="1881"/>
    <cellStyle name="20% - Accent5 4 4" xfId="649"/>
    <cellStyle name="20% - Accent5 4 4 2" xfId="2053"/>
    <cellStyle name="20% - Accent5 4 5" xfId="1093"/>
    <cellStyle name="20% - Accent5 4 5 2" xfId="2497"/>
    <cellStyle name="20% - Accent5 4 6" xfId="1573"/>
    <cellStyle name="20% - Accent5 5" xfId="243"/>
    <cellStyle name="20% - Accent5 5 2" xfId="744"/>
    <cellStyle name="20% - Accent5 5 2 2" xfId="2148"/>
    <cellStyle name="20% - Accent5 5 3" xfId="1188"/>
    <cellStyle name="20% - Accent5 5 3 2" xfId="2592"/>
    <cellStyle name="20% - Accent5 5 4" xfId="1647"/>
    <cellStyle name="20% - Accent5 6" xfId="400"/>
    <cellStyle name="20% - Accent5 6 2" xfId="880"/>
    <cellStyle name="20% - Accent5 6 2 2" xfId="2284"/>
    <cellStyle name="20% - Accent5 6 3" xfId="1324"/>
    <cellStyle name="20% - Accent5 6 3 2" xfId="2728"/>
    <cellStyle name="20% - Accent5 6 4" xfId="1804"/>
    <cellStyle name="20% - Accent5 7" xfId="572"/>
    <cellStyle name="20% - Accent5 7 2" xfId="1976"/>
    <cellStyle name="20% - Accent5 8" xfId="1016"/>
    <cellStyle name="20% - Accent5 8 2" xfId="2420"/>
    <cellStyle name="20% - Accent5 9" xfId="1511"/>
    <cellStyle name="20% - Accent6" xfId="107" builtinId="50" customBuiltin="1"/>
    <cellStyle name="20% - Accent6 2" xfId="15"/>
    <cellStyle name="20% - Accent6 3" xfId="123"/>
    <cellStyle name="20% - Accent6 3 2" xfId="201"/>
    <cellStyle name="20% - Accent6 3 2 2" xfId="337"/>
    <cellStyle name="20% - Accent6 3 2 2 2" xfId="853"/>
    <cellStyle name="20% - Accent6 3 2 2 2 2" xfId="2257"/>
    <cellStyle name="20% - Accent6 3 2 2 3" xfId="1297"/>
    <cellStyle name="20% - Accent6 3 2 2 3 2" xfId="2701"/>
    <cellStyle name="20% - Accent6 3 2 2 4" xfId="1741"/>
    <cellStyle name="20% - Accent6 3 2 3" xfId="509"/>
    <cellStyle name="20% - Accent6 3 2 3 2" xfId="953"/>
    <cellStyle name="20% - Accent6 3 2 3 2 2" xfId="2357"/>
    <cellStyle name="20% - Accent6 3 2 3 3" xfId="1397"/>
    <cellStyle name="20% - Accent6 3 2 3 3 2" xfId="2801"/>
    <cellStyle name="20% - Accent6 3 2 3 4" xfId="1913"/>
    <cellStyle name="20% - Accent6 3 2 4" xfId="681"/>
    <cellStyle name="20% - Accent6 3 2 4 2" xfId="2085"/>
    <cellStyle name="20% - Accent6 3 2 5" xfId="1125"/>
    <cellStyle name="20% - Accent6 3 2 5 2" xfId="2529"/>
    <cellStyle name="20% - Accent6 3 2 6" xfId="1605"/>
    <cellStyle name="20% - Accent6 3 3" xfId="260"/>
    <cellStyle name="20% - Accent6 3 3 2" xfId="776"/>
    <cellStyle name="20% - Accent6 3 3 2 2" xfId="2180"/>
    <cellStyle name="20% - Accent6 3 3 3" xfId="1220"/>
    <cellStyle name="20% - Accent6 3 3 3 2" xfId="2624"/>
    <cellStyle name="20% - Accent6 3 3 4" xfId="1664"/>
    <cellStyle name="20% - Accent6 3 4" xfId="432"/>
    <cellStyle name="20% - Accent6 3 4 2" xfId="897"/>
    <cellStyle name="20% - Accent6 3 4 2 2" xfId="2301"/>
    <cellStyle name="20% - Accent6 3 4 3" xfId="1341"/>
    <cellStyle name="20% - Accent6 3 4 3 2" xfId="2745"/>
    <cellStyle name="20% - Accent6 3 4 4" xfId="1836"/>
    <cellStyle name="20% - Accent6 3 5" xfId="604"/>
    <cellStyle name="20% - Accent6 3 5 2" xfId="2008"/>
    <cellStyle name="20% - Accent6 3 6" xfId="1048"/>
    <cellStyle name="20% - Accent6 3 6 2" xfId="2452"/>
    <cellStyle name="20% - Accent6 3 7" xfId="1528"/>
    <cellStyle name="20% - Accent6 4" xfId="171"/>
    <cellStyle name="20% - Accent6 4 2" xfId="307"/>
    <cellStyle name="20% - Accent6 4 2 2" xfId="823"/>
    <cellStyle name="20% - Accent6 4 2 2 2" xfId="2227"/>
    <cellStyle name="20% - Accent6 4 2 3" xfId="1267"/>
    <cellStyle name="20% - Accent6 4 2 3 2" xfId="2671"/>
    <cellStyle name="20% - Accent6 4 2 4" xfId="1711"/>
    <cellStyle name="20% - Accent6 4 3" xfId="479"/>
    <cellStyle name="20% - Accent6 4 3 2" xfId="923"/>
    <cellStyle name="20% - Accent6 4 3 2 2" xfId="2327"/>
    <cellStyle name="20% - Accent6 4 3 3" xfId="1367"/>
    <cellStyle name="20% - Accent6 4 3 3 2" xfId="2771"/>
    <cellStyle name="20% - Accent6 4 3 4" xfId="1883"/>
    <cellStyle name="20% - Accent6 4 4" xfId="651"/>
    <cellStyle name="20% - Accent6 4 4 2" xfId="2055"/>
    <cellStyle name="20% - Accent6 4 5" xfId="1095"/>
    <cellStyle name="20% - Accent6 4 5 2" xfId="2499"/>
    <cellStyle name="20% - Accent6 4 6" xfId="1575"/>
    <cellStyle name="20% - Accent6 5" xfId="245"/>
    <cellStyle name="20% - Accent6 5 2" xfId="746"/>
    <cellStyle name="20% - Accent6 5 2 2" xfId="2150"/>
    <cellStyle name="20% - Accent6 5 3" xfId="1190"/>
    <cellStyle name="20% - Accent6 5 3 2" xfId="2594"/>
    <cellStyle name="20% - Accent6 5 4" xfId="1649"/>
    <cellStyle name="20% - Accent6 6" xfId="402"/>
    <cellStyle name="20% - Accent6 6 2" xfId="882"/>
    <cellStyle name="20% - Accent6 6 2 2" xfId="2286"/>
    <cellStyle name="20% - Accent6 6 3" xfId="1326"/>
    <cellStyle name="20% - Accent6 6 3 2" xfId="2730"/>
    <cellStyle name="20% - Accent6 6 4" xfId="1806"/>
    <cellStyle name="20% - Accent6 7" xfId="574"/>
    <cellStyle name="20% - Accent6 7 2" xfId="1978"/>
    <cellStyle name="20% - Accent6 8" xfId="1018"/>
    <cellStyle name="20% - Accent6 8 2" xfId="2422"/>
    <cellStyle name="20% - Accent6 9" xfId="1513"/>
    <cellStyle name="40% - Accent1" xfId="88" builtinId="31" customBuiltin="1"/>
    <cellStyle name="40% - Accent1 2" xfId="16"/>
    <cellStyle name="40% - Accent1 3" xfId="114"/>
    <cellStyle name="40% - Accent1 3 2" xfId="192"/>
    <cellStyle name="40% - Accent1 3 2 2" xfId="328"/>
    <cellStyle name="40% - Accent1 3 2 2 2" xfId="844"/>
    <cellStyle name="40% - Accent1 3 2 2 2 2" xfId="2248"/>
    <cellStyle name="40% - Accent1 3 2 2 3" xfId="1288"/>
    <cellStyle name="40% - Accent1 3 2 2 3 2" xfId="2692"/>
    <cellStyle name="40% - Accent1 3 2 2 4" xfId="1732"/>
    <cellStyle name="40% - Accent1 3 2 3" xfId="500"/>
    <cellStyle name="40% - Accent1 3 2 3 2" xfId="944"/>
    <cellStyle name="40% - Accent1 3 2 3 2 2" xfId="2348"/>
    <cellStyle name="40% - Accent1 3 2 3 3" xfId="1388"/>
    <cellStyle name="40% - Accent1 3 2 3 3 2" xfId="2792"/>
    <cellStyle name="40% - Accent1 3 2 3 4" xfId="1904"/>
    <cellStyle name="40% - Accent1 3 2 4" xfId="672"/>
    <cellStyle name="40% - Accent1 3 2 4 2" xfId="2076"/>
    <cellStyle name="40% - Accent1 3 2 5" xfId="1116"/>
    <cellStyle name="40% - Accent1 3 2 5 2" xfId="2520"/>
    <cellStyle name="40% - Accent1 3 2 6" xfId="1596"/>
    <cellStyle name="40% - Accent1 3 3" xfId="251"/>
    <cellStyle name="40% - Accent1 3 3 2" xfId="767"/>
    <cellStyle name="40% - Accent1 3 3 2 2" xfId="2171"/>
    <cellStyle name="40% - Accent1 3 3 3" xfId="1211"/>
    <cellStyle name="40% - Accent1 3 3 3 2" xfId="2615"/>
    <cellStyle name="40% - Accent1 3 3 4" xfId="1655"/>
    <cellStyle name="40% - Accent1 3 4" xfId="423"/>
    <cellStyle name="40% - Accent1 3 4 2" xfId="888"/>
    <cellStyle name="40% - Accent1 3 4 2 2" xfId="2292"/>
    <cellStyle name="40% - Accent1 3 4 3" xfId="1332"/>
    <cellStyle name="40% - Accent1 3 4 3 2" xfId="2736"/>
    <cellStyle name="40% - Accent1 3 4 4" xfId="1827"/>
    <cellStyle name="40% - Accent1 3 5" xfId="595"/>
    <cellStyle name="40% - Accent1 3 5 2" xfId="1999"/>
    <cellStyle name="40% - Accent1 3 6" xfId="1039"/>
    <cellStyle name="40% - Accent1 3 6 2" xfId="2443"/>
    <cellStyle name="40% - Accent1 3 7" xfId="1519"/>
    <cellStyle name="40% - Accent1 4" xfId="162"/>
    <cellStyle name="40% - Accent1 4 2" xfId="298"/>
    <cellStyle name="40% - Accent1 4 2 2" xfId="814"/>
    <cellStyle name="40% - Accent1 4 2 2 2" xfId="2218"/>
    <cellStyle name="40% - Accent1 4 2 3" xfId="1258"/>
    <cellStyle name="40% - Accent1 4 2 3 2" xfId="2662"/>
    <cellStyle name="40% - Accent1 4 2 4" xfId="1702"/>
    <cellStyle name="40% - Accent1 4 3" xfId="470"/>
    <cellStyle name="40% - Accent1 4 3 2" xfId="914"/>
    <cellStyle name="40% - Accent1 4 3 2 2" xfId="2318"/>
    <cellStyle name="40% - Accent1 4 3 3" xfId="1358"/>
    <cellStyle name="40% - Accent1 4 3 3 2" xfId="2762"/>
    <cellStyle name="40% - Accent1 4 3 4" xfId="1874"/>
    <cellStyle name="40% - Accent1 4 4" xfId="642"/>
    <cellStyle name="40% - Accent1 4 4 2" xfId="2046"/>
    <cellStyle name="40% - Accent1 4 5" xfId="1086"/>
    <cellStyle name="40% - Accent1 4 5 2" xfId="2490"/>
    <cellStyle name="40% - Accent1 4 6" xfId="1566"/>
    <cellStyle name="40% - Accent1 5" xfId="236"/>
    <cellStyle name="40% - Accent1 5 2" xfId="737"/>
    <cellStyle name="40% - Accent1 5 2 2" xfId="2141"/>
    <cellStyle name="40% - Accent1 5 3" xfId="1181"/>
    <cellStyle name="40% - Accent1 5 3 2" xfId="2585"/>
    <cellStyle name="40% - Accent1 5 4" xfId="1640"/>
    <cellStyle name="40% - Accent1 6" xfId="393"/>
    <cellStyle name="40% - Accent1 6 2" xfId="873"/>
    <cellStyle name="40% - Accent1 6 2 2" xfId="2277"/>
    <cellStyle name="40% - Accent1 6 3" xfId="1317"/>
    <cellStyle name="40% - Accent1 6 3 2" xfId="2721"/>
    <cellStyle name="40% - Accent1 6 4" xfId="1797"/>
    <cellStyle name="40% - Accent1 7" xfId="565"/>
    <cellStyle name="40% - Accent1 7 2" xfId="1969"/>
    <cellStyle name="40% - Accent1 8" xfId="1009"/>
    <cellStyle name="40% - Accent1 8 2" xfId="2413"/>
    <cellStyle name="40% - Accent1 9" xfId="1504"/>
    <cellStyle name="40% - Accent2" xfId="92" builtinId="35" customBuiltin="1"/>
    <cellStyle name="40% - Accent2 2" xfId="17"/>
    <cellStyle name="40% - Accent2 3" xfId="116"/>
    <cellStyle name="40% - Accent2 3 2" xfId="194"/>
    <cellStyle name="40% - Accent2 3 2 2" xfId="330"/>
    <cellStyle name="40% - Accent2 3 2 2 2" xfId="846"/>
    <cellStyle name="40% - Accent2 3 2 2 2 2" xfId="2250"/>
    <cellStyle name="40% - Accent2 3 2 2 3" xfId="1290"/>
    <cellStyle name="40% - Accent2 3 2 2 3 2" xfId="2694"/>
    <cellStyle name="40% - Accent2 3 2 2 4" xfId="1734"/>
    <cellStyle name="40% - Accent2 3 2 3" xfId="502"/>
    <cellStyle name="40% - Accent2 3 2 3 2" xfId="946"/>
    <cellStyle name="40% - Accent2 3 2 3 2 2" xfId="2350"/>
    <cellStyle name="40% - Accent2 3 2 3 3" xfId="1390"/>
    <cellStyle name="40% - Accent2 3 2 3 3 2" xfId="2794"/>
    <cellStyle name="40% - Accent2 3 2 3 4" xfId="1906"/>
    <cellStyle name="40% - Accent2 3 2 4" xfId="674"/>
    <cellStyle name="40% - Accent2 3 2 4 2" xfId="2078"/>
    <cellStyle name="40% - Accent2 3 2 5" xfId="1118"/>
    <cellStyle name="40% - Accent2 3 2 5 2" xfId="2522"/>
    <cellStyle name="40% - Accent2 3 2 6" xfId="1598"/>
    <cellStyle name="40% - Accent2 3 3" xfId="253"/>
    <cellStyle name="40% - Accent2 3 3 2" xfId="769"/>
    <cellStyle name="40% - Accent2 3 3 2 2" xfId="2173"/>
    <cellStyle name="40% - Accent2 3 3 3" xfId="1213"/>
    <cellStyle name="40% - Accent2 3 3 3 2" xfId="2617"/>
    <cellStyle name="40% - Accent2 3 3 4" xfId="1657"/>
    <cellStyle name="40% - Accent2 3 4" xfId="425"/>
    <cellStyle name="40% - Accent2 3 4 2" xfId="890"/>
    <cellStyle name="40% - Accent2 3 4 2 2" xfId="2294"/>
    <cellStyle name="40% - Accent2 3 4 3" xfId="1334"/>
    <cellStyle name="40% - Accent2 3 4 3 2" xfId="2738"/>
    <cellStyle name="40% - Accent2 3 4 4" xfId="1829"/>
    <cellStyle name="40% - Accent2 3 5" xfId="597"/>
    <cellStyle name="40% - Accent2 3 5 2" xfId="2001"/>
    <cellStyle name="40% - Accent2 3 6" xfId="1041"/>
    <cellStyle name="40% - Accent2 3 6 2" xfId="2445"/>
    <cellStyle name="40% - Accent2 3 7" xfId="1521"/>
    <cellStyle name="40% - Accent2 4" xfId="164"/>
    <cellStyle name="40% - Accent2 4 2" xfId="300"/>
    <cellStyle name="40% - Accent2 4 2 2" xfId="816"/>
    <cellStyle name="40% - Accent2 4 2 2 2" xfId="2220"/>
    <cellStyle name="40% - Accent2 4 2 3" xfId="1260"/>
    <cellStyle name="40% - Accent2 4 2 3 2" xfId="2664"/>
    <cellStyle name="40% - Accent2 4 2 4" xfId="1704"/>
    <cellStyle name="40% - Accent2 4 3" xfId="472"/>
    <cellStyle name="40% - Accent2 4 3 2" xfId="916"/>
    <cellStyle name="40% - Accent2 4 3 2 2" xfId="2320"/>
    <cellStyle name="40% - Accent2 4 3 3" xfId="1360"/>
    <cellStyle name="40% - Accent2 4 3 3 2" xfId="2764"/>
    <cellStyle name="40% - Accent2 4 3 4" xfId="1876"/>
    <cellStyle name="40% - Accent2 4 4" xfId="644"/>
    <cellStyle name="40% - Accent2 4 4 2" xfId="2048"/>
    <cellStyle name="40% - Accent2 4 5" xfId="1088"/>
    <cellStyle name="40% - Accent2 4 5 2" xfId="2492"/>
    <cellStyle name="40% - Accent2 4 6" xfId="1568"/>
    <cellStyle name="40% - Accent2 5" xfId="238"/>
    <cellStyle name="40% - Accent2 5 2" xfId="739"/>
    <cellStyle name="40% - Accent2 5 2 2" xfId="2143"/>
    <cellStyle name="40% - Accent2 5 3" xfId="1183"/>
    <cellStyle name="40% - Accent2 5 3 2" xfId="2587"/>
    <cellStyle name="40% - Accent2 5 4" xfId="1642"/>
    <cellStyle name="40% - Accent2 6" xfId="395"/>
    <cellStyle name="40% - Accent2 6 2" xfId="875"/>
    <cellStyle name="40% - Accent2 6 2 2" xfId="2279"/>
    <cellStyle name="40% - Accent2 6 3" xfId="1319"/>
    <cellStyle name="40% - Accent2 6 3 2" xfId="2723"/>
    <cellStyle name="40% - Accent2 6 4" xfId="1799"/>
    <cellStyle name="40% - Accent2 7" xfId="567"/>
    <cellStyle name="40% - Accent2 7 2" xfId="1971"/>
    <cellStyle name="40% - Accent2 8" xfId="1011"/>
    <cellStyle name="40% - Accent2 8 2" xfId="2415"/>
    <cellStyle name="40% - Accent2 9" xfId="1506"/>
    <cellStyle name="40% - Accent3" xfId="96" builtinId="39" customBuiltin="1"/>
    <cellStyle name="40% - Accent3 2" xfId="18"/>
    <cellStyle name="40% - Accent3 3" xfId="118"/>
    <cellStyle name="40% - Accent3 3 2" xfId="196"/>
    <cellStyle name="40% - Accent3 3 2 2" xfId="332"/>
    <cellStyle name="40% - Accent3 3 2 2 2" xfId="848"/>
    <cellStyle name="40% - Accent3 3 2 2 2 2" xfId="2252"/>
    <cellStyle name="40% - Accent3 3 2 2 3" xfId="1292"/>
    <cellStyle name="40% - Accent3 3 2 2 3 2" xfId="2696"/>
    <cellStyle name="40% - Accent3 3 2 2 4" xfId="1736"/>
    <cellStyle name="40% - Accent3 3 2 3" xfId="504"/>
    <cellStyle name="40% - Accent3 3 2 3 2" xfId="948"/>
    <cellStyle name="40% - Accent3 3 2 3 2 2" xfId="2352"/>
    <cellStyle name="40% - Accent3 3 2 3 3" xfId="1392"/>
    <cellStyle name="40% - Accent3 3 2 3 3 2" xfId="2796"/>
    <cellStyle name="40% - Accent3 3 2 3 4" xfId="1908"/>
    <cellStyle name="40% - Accent3 3 2 4" xfId="676"/>
    <cellStyle name="40% - Accent3 3 2 4 2" xfId="2080"/>
    <cellStyle name="40% - Accent3 3 2 5" xfId="1120"/>
    <cellStyle name="40% - Accent3 3 2 5 2" xfId="2524"/>
    <cellStyle name="40% - Accent3 3 2 6" xfId="1600"/>
    <cellStyle name="40% - Accent3 3 3" xfId="255"/>
    <cellStyle name="40% - Accent3 3 3 2" xfId="771"/>
    <cellStyle name="40% - Accent3 3 3 2 2" xfId="2175"/>
    <cellStyle name="40% - Accent3 3 3 3" xfId="1215"/>
    <cellStyle name="40% - Accent3 3 3 3 2" xfId="2619"/>
    <cellStyle name="40% - Accent3 3 3 4" xfId="1659"/>
    <cellStyle name="40% - Accent3 3 4" xfId="427"/>
    <cellStyle name="40% - Accent3 3 4 2" xfId="892"/>
    <cellStyle name="40% - Accent3 3 4 2 2" xfId="2296"/>
    <cellStyle name="40% - Accent3 3 4 3" xfId="1336"/>
    <cellStyle name="40% - Accent3 3 4 3 2" xfId="2740"/>
    <cellStyle name="40% - Accent3 3 4 4" xfId="1831"/>
    <cellStyle name="40% - Accent3 3 5" xfId="599"/>
    <cellStyle name="40% - Accent3 3 5 2" xfId="2003"/>
    <cellStyle name="40% - Accent3 3 6" xfId="1043"/>
    <cellStyle name="40% - Accent3 3 6 2" xfId="2447"/>
    <cellStyle name="40% - Accent3 3 7" xfId="1523"/>
    <cellStyle name="40% - Accent3 4" xfId="166"/>
    <cellStyle name="40% - Accent3 4 2" xfId="302"/>
    <cellStyle name="40% - Accent3 4 2 2" xfId="818"/>
    <cellStyle name="40% - Accent3 4 2 2 2" xfId="2222"/>
    <cellStyle name="40% - Accent3 4 2 3" xfId="1262"/>
    <cellStyle name="40% - Accent3 4 2 3 2" xfId="2666"/>
    <cellStyle name="40% - Accent3 4 2 4" xfId="1706"/>
    <cellStyle name="40% - Accent3 4 3" xfId="474"/>
    <cellStyle name="40% - Accent3 4 3 2" xfId="918"/>
    <cellStyle name="40% - Accent3 4 3 2 2" xfId="2322"/>
    <cellStyle name="40% - Accent3 4 3 3" xfId="1362"/>
    <cellStyle name="40% - Accent3 4 3 3 2" xfId="2766"/>
    <cellStyle name="40% - Accent3 4 3 4" xfId="1878"/>
    <cellStyle name="40% - Accent3 4 4" xfId="646"/>
    <cellStyle name="40% - Accent3 4 4 2" xfId="2050"/>
    <cellStyle name="40% - Accent3 4 5" xfId="1090"/>
    <cellStyle name="40% - Accent3 4 5 2" xfId="2494"/>
    <cellStyle name="40% - Accent3 4 6" xfId="1570"/>
    <cellStyle name="40% - Accent3 5" xfId="240"/>
    <cellStyle name="40% - Accent3 5 2" xfId="741"/>
    <cellStyle name="40% - Accent3 5 2 2" xfId="2145"/>
    <cellStyle name="40% - Accent3 5 3" xfId="1185"/>
    <cellStyle name="40% - Accent3 5 3 2" xfId="2589"/>
    <cellStyle name="40% - Accent3 5 4" xfId="1644"/>
    <cellStyle name="40% - Accent3 6" xfId="397"/>
    <cellStyle name="40% - Accent3 6 2" xfId="877"/>
    <cellStyle name="40% - Accent3 6 2 2" xfId="2281"/>
    <cellStyle name="40% - Accent3 6 3" xfId="1321"/>
    <cellStyle name="40% - Accent3 6 3 2" xfId="2725"/>
    <cellStyle name="40% - Accent3 6 4" xfId="1801"/>
    <cellStyle name="40% - Accent3 7" xfId="569"/>
    <cellStyle name="40% - Accent3 7 2" xfId="1973"/>
    <cellStyle name="40% - Accent3 8" xfId="1013"/>
    <cellStyle name="40% - Accent3 8 2" xfId="2417"/>
    <cellStyle name="40% - Accent3 9" xfId="1508"/>
    <cellStyle name="40% - Accent4" xfId="100" builtinId="43" customBuiltin="1"/>
    <cellStyle name="40% - Accent4 2" xfId="19"/>
    <cellStyle name="40% - Accent4 3" xfId="120"/>
    <cellStyle name="40% - Accent4 3 2" xfId="198"/>
    <cellStyle name="40% - Accent4 3 2 2" xfId="334"/>
    <cellStyle name="40% - Accent4 3 2 2 2" xfId="850"/>
    <cellStyle name="40% - Accent4 3 2 2 2 2" xfId="2254"/>
    <cellStyle name="40% - Accent4 3 2 2 3" xfId="1294"/>
    <cellStyle name="40% - Accent4 3 2 2 3 2" xfId="2698"/>
    <cellStyle name="40% - Accent4 3 2 2 4" xfId="1738"/>
    <cellStyle name="40% - Accent4 3 2 3" xfId="506"/>
    <cellStyle name="40% - Accent4 3 2 3 2" xfId="950"/>
    <cellStyle name="40% - Accent4 3 2 3 2 2" xfId="2354"/>
    <cellStyle name="40% - Accent4 3 2 3 3" xfId="1394"/>
    <cellStyle name="40% - Accent4 3 2 3 3 2" xfId="2798"/>
    <cellStyle name="40% - Accent4 3 2 3 4" xfId="1910"/>
    <cellStyle name="40% - Accent4 3 2 4" xfId="678"/>
    <cellStyle name="40% - Accent4 3 2 4 2" xfId="2082"/>
    <cellStyle name="40% - Accent4 3 2 5" xfId="1122"/>
    <cellStyle name="40% - Accent4 3 2 5 2" xfId="2526"/>
    <cellStyle name="40% - Accent4 3 2 6" xfId="1602"/>
    <cellStyle name="40% - Accent4 3 3" xfId="257"/>
    <cellStyle name="40% - Accent4 3 3 2" xfId="773"/>
    <cellStyle name="40% - Accent4 3 3 2 2" xfId="2177"/>
    <cellStyle name="40% - Accent4 3 3 3" xfId="1217"/>
    <cellStyle name="40% - Accent4 3 3 3 2" xfId="2621"/>
    <cellStyle name="40% - Accent4 3 3 4" xfId="1661"/>
    <cellStyle name="40% - Accent4 3 4" xfId="429"/>
    <cellStyle name="40% - Accent4 3 4 2" xfId="894"/>
    <cellStyle name="40% - Accent4 3 4 2 2" xfId="2298"/>
    <cellStyle name="40% - Accent4 3 4 3" xfId="1338"/>
    <cellStyle name="40% - Accent4 3 4 3 2" xfId="2742"/>
    <cellStyle name="40% - Accent4 3 4 4" xfId="1833"/>
    <cellStyle name="40% - Accent4 3 5" xfId="601"/>
    <cellStyle name="40% - Accent4 3 5 2" xfId="2005"/>
    <cellStyle name="40% - Accent4 3 6" xfId="1045"/>
    <cellStyle name="40% - Accent4 3 6 2" xfId="2449"/>
    <cellStyle name="40% - Accent4 3 7" xfId="1525"/>
    <cellStyle name="40% - Accent4 4" xfId="168"/>
    <cellStyle name="40% - Accent4 4 2" xfId="304"/>
    <cellStyle name="40% - Accent4 4 2 2" xfId="820"/>
    <cellStyle name="40% - Accent4 4 2 2 2" xfId="2224"/>
    <cellStyle name="40% - Accent4 4 2 3" xfId="1264"/>
    <cellStyle name="40% - Accent4 4 2 3 2" xfId="2668"/>
    <cellStyle name="40% - Accent4 4 2 4" xfId="1708"/>
    <cellStyle name="40% - Accent4 4 3" xfId="476"/>
    <cellStyle name="40% - Accent4 4 3 2" xfId="920"/>
    <cellStyle name="40% - Accent4 4 3 2 2" xfId="2324"/>
    <cellStyle name="40% - Accent4 4 3 3" xfId="1364"/>
    <cellStyle name="40% - Accent4 4 3 3 2" xfId="2768"/>
    <cellStyle name="40% - Accent4 4 3 4" xfId="1880"/>
    <cellStyle name="40% - Accent4 4 4" xfId="648"/>
    <cellStyle name="40% - Accent4 4 4 2" xfId="2052"/>
    <cellStyle name="40% - Accent4 4 5" xfId="1092"/>
    <cellStyle name="40% - Accent4 4 5 2" xfId="2496"/>
    <cellStyle name="40% - Accent4 4 6" xfId="1572"/>
    <cellStyle name="40% - Accent4 5" xfId="242"/>
    <cellStyle name="40% - Accent4 5 2" xfId="743"/>
    <cellStyle name="40% - Accent4 5 2 2" xfId="2147"/>
    <cellStyle name="40% - Accent4 5 3" xfId="1187"/>
    <cellStyle name="40% - Accent4 5 3 2" xfId="2591"/>
    <cellStyle name="40% - Accent4 5 4" xfId="1646"/>
    <cellStyle name="40% - Accent4 6" xfId="399"/>
    <cellStyle name="40% - Accent4 6 2" xfId="879"/>
    <cellStyle name="40% - Accent4 6 2 2" xfId="2283"/>
    <cellStyle name="40% - Accent4 6 3" xfId="1323"/>
    <cellStyle name="40% - Accent4 6 3 2" xfId="2727"/>
    <cellStyle name="40% - Accent4 6 4" xfId="1803"/>
    <cellStyle name="40% - Accent4 7" xfId="571"/>
    <cellStyle name="40% - Accent4 7 2" xfId="1975"/>
    <cellStyle name="40% - Accent4 8" xfId="1015"/>
    <cellStyle name="40% - Accent4 8 2" xfId="2419"/>
    <cellStyle name="40% - Accent4 9" xfId="1510"/>
    <cellStyle name="40% - Accent5" xfId="104" builtinId="47" customBuiltin="1"/>
    <cellStyle name="40% - Accent5 2" xfId="20"/>
    <cellStyle name="40% - Accent5 3" xfId="122"/>
    <cellStyle name="40% - Accent5 3 2" xfId="200"/>
    <cellStyle name="40% - Accent5 3 2 2" xfId="336"/>
    <cellStyle name="40% - Accent5 3 2 2 2" xfId="852"/>
    <cellStyle name="40% - Accent5 3 2 2 2 2" xfId="2256"/>
    <cellStyle name="40% - Accent5 3 2 2 3" xfId="1296"/>
    <cellStyle name="40% - Accent5 3 2 2 3 2" xfId="2700"/>
    <cellStyle name="40% - Accent5 3 2 2 4" xfId="1740"/>
    <cellStyle name="40% - Accent5 3 2 3" xfId="508"/>
    <cellStyle name="40% - Accent5 3 2 3 2" xfId="952"/>
    <cellStyle name="40% - Accent5 3 2 3 2 2" xfId="2356"/>
    <cellStyle name="40% - Accent5 3 2 3 3" xfId="1396"/>
    <cellStyle name="40% - Accent5 3 2 3 3 2" xfId="2800"/>
    <cellStyle name="40% - Accent5 3 2 3 4" xfId="1912"/>
    <cellStyle name="40% - Accent5 3 2 4" xfId="680"/>
    <cellStyle name="40% - Accent5 3 2 4 2" xfId="2084"/>
    <cellStyle name="40% - Accent5 3 2 5" xfId="1124"/>
    <cellStyle name="40% - Accent5 3 2 5 2" xfId="2528"/>
    <cellStyle name="40% - Accent5 3 2 6" xfId="1604"/>
    <cellStyle name="40% - Accent5 3 3" xfId="259"/>
    <cellStyle name="40% - Accent5 3 3 2" xfId="775"/>
    <cellStyle name="40% - Accent5 3 3 2 2" xfId="2179"/>
    <cellStyle name="40% - Accent5 3 3 3" xfId="1219"/>
    <cellStyle name="40% - Accent5 3 3 3 2" xfId="2623"/>
    <cellStyle name="40% - Accent5 3 3 4" xfId="1663"/>
    <cellStyle name="40% - Accent5 3 4" xfId="431"/>
    <cellStyle name="40% - Accent5 3 4 2" xfId="896"/>
    <cellStyle name="40% - Accent5 3 4 2 2" xfId="2300"/>
    <cellStyle name="40% - Accent5 3 4 3" xfId="1340"/>
    <cellStyle name="40% - Accent5 3 4 3 2" xfId="2744"/>
    <cellStyle name="40% - Accent5 3 4 4" xfId="1835"/>
    <cellStyle name="40% - Accent5 3 5" xfId="603"/>
    <cellStyle name="40% - Accent5 3 5 2" xfId="2007"/>
    <cellStyle name="40% - Accent5 3 6" xfId="1047"/>
    <cellStyle name="40% - Accent5 3 6 2" xfId="2451"/>
    <cellStyle name="40% - Accent5 3 7" xfId="1527"/>
    <cellStyle name="40% - Accent5 4" xfId="170"/>
    <cellStyle name="40% - Accent5 4 2" xfId="306"/>
    <cellStyle name="40% - Accent5 4 2 2" xfId="822"/>
    <cellStyle name="40% - Accent5 4 2 2 2" xfId="2226"/>
    <cellStyle name="40% - Accent5 4 2 3" xfId="1266"/>
    <cellStyle name="40% - Accent5 4 2 3 2" xfId="2670"/>
    <cellStyle name="40% - Accent5 4 2 4" xfId="1710"/>
    <cellStyle name="40% - Accent5 4 3" xfId="478"/>
    <cellStyle name="40% - Accent5 4 3 2" xfId="922"/>
    <cellStyle name="40% - Accent5 4 3 2 2" xfId="2326"/>
    <cellStyle name="40% - Accent5 4 3 3" xfId="1366"/>
    <cellStyle name="40% - Accent5 4 3 3 2" xfId="2770"/>
    <cellStyle name="40% - Accent5 4 3 4" xfId="1882"/>
    <cellStyle name="40% - Accent5 4 4" xfId="650"/>
    <cellStyle name="40% - Accent5 4 4 2" xfId="2054"/>
    <cellStyle name="40% - Accent5 4 5" xfId="1094"/>
    <cellStyle name="40% - Accent5 4 5 2" xfId="2498"/>
    <cellStyle name="40% - Accent5 4 6" xfId="1574"/>
    <cellStyle name="40% - Accent5 5" xfId="244"/>
    <cellStyle name="40% - Accent5 5 2" xfId="745"/>
    <cellStyle name="40% - Accent5 5 2 2" xfId="2149"/>
    <cellStyle name="40% - Accent5 5 3" xfId="1189"/>
    <cellStyle name="40% - Accent5 5 3 2" xfId="2593"/>
    <cellStyle name="40% - Accent5 5 4" xfId="1648"/>
    <cellStyle name="40% - Accent5 6" xfId="401"/>
    <cellStyle name="40% - Accent5 6 2" xfId="881"/>
    <cellStyle name="40% - Accent5 6 2 2" xfId="2285"/>
    <cellStyle name="40% - Accent5 6 3" xfId="1325"/>
    <cellStyle name="40% - Accent5 6 3 2" xfId="2729"/>
    <cellStyle name="40% - Accent5 6 4" xfId="1805"/>
    <cellStyle name="40% - Accent5 7" xfId="573"/>
    <cellStyle name="40% - Accent5 7 2" xfId="1977"/>
    <cellStyle name="40% - Accent5 8" xfId="1017"/>
    <cellStyle name="40% - Accent5 8 2" xfId="2421"/>
    <cellStyle name="40% - Accent5 9" xfId="1512"/>
    <cellStyle name="40% - Accent6" xfId="108" builtinId="51" customBuiltin="1"/>
    <cellStyle name="40% - Accent6 2" xfId="21"/>
    <cellStyle name="40% - Accent6 3" xfId="124"/>
    <cellStyle name="40% - Accent6 3 2" xfId="202"/>
    <cellStyle name="40% - Accent6 3 2 2" xfId="338"/>
    <cellStyle name="40% - Accent6 3 2 2 2" xfId="854"/>
    <cellStyle name="40% - Accent6 3 2 2 2 2" xfId="2258"/>
    <cellStyle name="40% - Accent6 3 2 2 3" xfId="1298"/>
    <cellStyle name="40% - Accent6 3 2 2 3 2" xfId="2702"/>
    <cellStyle name="40% - Accent6 3 2 2 4" xfId="1742"/>
    <cellStyle name="40% - Accent6 3 2 3" xfId="510"/>
    <cellStyle name="40% - Accent6 3 2 3 2" xfId="954"/>
    <cellStyle name="40% - Accent6 3 2 3 2 2" xfId="2358"/>
    <cellStyle name="40% - Accent6 3 2 3 3" xfId="1398"/>
    <cellStyle name="40% - Accent6 3 2 3 3 2" xfId="2802"/>
    <cellStyle name="40% - Accent6 3 2 3 4" xfId="1914"/>
    <cellStyle name="40% - Accent6 3 2 4" xfId="682"/>
    <cellStyle name="40% - Accent6 3 2 4 2" xfId="2086"/>
    <cellStyle name="40% - Accent6 3 2 5" xfId="1126"/>
    <cellStyle name="40% - Accent6 3 2 5 2" xfId="2530"/>
    <cellStyle name="40% - Accent6 3 2 6" xfId="1606"/>
    <cellStyle name="40% - Accent6 3 3" xfId="261"/>
    <cellStyle name="40% - Accent6 3 3 2" xfId="777"/>
    <cellStyle name="40% - Accent6 3 3 2 2" xfId="2181"/>
    <cellStyle name="40% - Accent6 3 3 3" xfId="1221"/>
    <cellStyle name="40% - Accent6 3 3 3 2" xfId="2625"/>
    <cellStyle name="40% - Accent6 3 3 4" xfId="1665"/>
    <cellStyle name="40% - Accent6 3 4" xfId="433"/>
    <cellStyle name="40% - Accent6 3 4 2" xfId="898"/>
    <cellStyle name="40% - Accent6 3 4 2 2" xfId="2302"/>
    <cellStyle name="40% - Accent6 3 4 3" xfId="1342"/>
    <cellStyle name="40% - Accent6 3 4 3 2" xfId="2746"/>
    <cellStyle name="40% - Accent6 3 4 4" xfId="1837"/>
    <cellStyle name="40% - Accent6 3 5" xfId="605"/>
    <cellStyle name="40% - Accent6 3 5 2" xfId="2009"/>
    <cellStyle name="40% - Accent6 3 6" xfId="1049"/>
    <cellStyle name="40% - Accent6 3 6 2" xfId="2453"/>
    <cellStyle name="40% - Accent6 3 7" xfId="1529"/>
    <cellStyle name="40% - Accent6 4" xfId="172"/>
    <cellStyle name="40% - Accent6 4 2" xfId="308"/>
    <cellStyle name="40% - Accent6 4 2 2" xfId="824"/>
    <cellStyle name="40% - Accent6 4 2 2 2" xfId="2228"/>
    <cellStyle name="40% - Accent6 4 2 3" xfId="1268"/>
    <cellStyle name="40% - Accent6 4 2 3 2" xfId="2672"/>
    <cellStyle name="40% - Accent6 4 2 4" xfId="1712"/>
    <cellStyle name="40% - Accent6 4 3" xfId="480"/>
    <cellStyle name="40% - Accent6 4 3 2" xfId="924"/>
    <cellStyle name="40% - Accent6 4 3 2 2" xfId="2328"/>
    <cellStyle name="40% - Accent6 4 3 3" xfId="1368"/>
    <cellStyle name="40% - Accent6 4 3 3 2" xfId="2772"/>
    <cellStyle name="40% - Accent6 4 3 4" xfId="1884"/>
    <cellStyle name="40% - Accent6 4 4" xfId="652"/>
    <cellStyle name="40% - Accent6 4 4 2" xfId="2056"/>
    <cellStyle name="40% - Accent6 4 5" xfId="1096"/>
    <cellStyle name="40% - Accent6 4 5 2" xfId="2500"/>
    <cellStyle name="40% - Accent6 4 6" xfId="1576"/>
    <cellStyle name="40% - Accent6 5" xfId="246"/>
    <cellStyle name="40% - Accent6 5 2" xfId="747"/>
    <cellStyle name="40% - Accent6 5 2 2" xfId="2151"/>
    <cellStyle name="40% - Accent6 5 3" xfId="1191"/>
    <cellStyle name="40% - Accent6 5 3 2" xfId="2595"/>
    <cellStyle name="40% - Accent6 5 4" xfId="1650"/>
    <cellStyle name="40% - Accent6 6" xfId="403"/>
    <cellStyle name="40% - Accent6 6 2" xfId="883"/>
    <cellStyle name="40% - Accent6 6 2 2" xfId="2287"/>
    <cellStyle name="40% - Accent6 6 3" xfId="1327"/>
    <cellStyle name="40% - Accent6 6 3 2" xfId="2731"/>
    <cellStyle name="40% - Accent6 6 4" xfId="1807"/>
    <cellStyle name="40% - Accent6 7" xfId="575"/>
    <cellStyle name="40% - Accent6 7 2" xfId="1979"/>
    <cellStyle name="40% - Accent6 8" xfId="1019"/>
    <cellStyle name="40% - Accent6 8 2" xfId="2423"/>
    <cellStyle name="40% - Accent6 9" xfId="1514"/>
    <cellStyle name="60% - Accent1" xfId="89" builtinId="32" customBuiltin="1"/>
    <cellStyle name="60% - Accent1 2" xfId="22"/>
    <cellStyle name="60% - Accent2" xfId="93" builtinId="36" customBuiltin="1"/>
    <cellStyle name="60% - Accent2 2" xfId="23"/>
    <cellStyle name="60% - Accent3" xfId="97" builtinId="40" customBuiltin="1"/>
    <cellStyle name="60% - Accent3 2" xfId="24"/>
    <cellStyle name="60% - Accent4" xfId="101" builtinId="44" customBuiltin="1"/>
    <cellStyle name="60% - Accent4 2" xfId="25"/>
    <cellStyle name="60% - Accent5" xfId="105" builtinId="48" customBuiltin="1"/>
    <cellStyle name="60% - Accent5 2" xfId="26"/>
    <cellStyle name="60% - Accent6" xfId="109" builtinId="52" customBuiltin="1"/>
    <cellStyle name="60% - Accent6 2" xfId="27"/>
    <cellStyle name="Accent1" xfId="86" builtinId="29" customBuiltin="1"/>
    <cellStyle name="Accent1 2" xfId="28"/>
    <cellStyle name="Accent2" xfId="90" builtinId="33" customBuiltin="1"/>
    <cellStyle name="Accent2 2" xfId="29"/>
    <cellStyle name="Accent3" xfId="94" builtinId="37" customBuiltin="1"/>
    <cellStyle name="Accent3 2" xfId="30"/>
    <cellStyle name="Accent4" xfId="98" builtinId="41" customBuiltin="1"/>
    <cellStyle name="Accent4 2" xfId="31"/>
    <cellStyle name="Accent5" xfId="102" builtinId="45" customBuiltin="1"/>
    <cellStyle name="Accent5 2" xfId="32"/>
    <cellStyle name="Accent6" xfId="106" builtinId="49" customBuiltin="1"/>
    <cellStyle name="Accent6 2" xfId="33"/>
    <cellStyle name="Bad" xfId="64" builtinId="27" customBuiltin="1"/>
    <cellStyle name="Bad 2" xfId="34"/>
    <cellStyle name="Calculation" xfId="80" builtinId="22" customBuiltin="1"/>
    <cellStyle name="Calculation 2" xfId="35"/>
    <cellStyle name="Check Cell" xfId="82" builtinId="23" customBuiltin="1"/>
    <cellStyle name="Check Cell 2" xfId="36"/>
    <cellStyle name="Comma0" xfId="37"/>
    <cellStyle name="Currency0" xfId="38"/>
    <cellStyle name="Date" xfId="39"/>
    <cellStyle name="DescriptionStyle" xfId="2898"/>
    <cellStyle name="DuplicateStyle" xfId="2901"/>
    <cellStyle name="Explanatory Text" xfId="84" builtinId="53" customBuiltin="1"/>
    <cellStyle name="Explanatory Text 2" xfId="40"/>
    <cellStyle name="Fixed" xfId="41"/>
    <cellStyle name="FL." xfId="42"/>
    <cellStyle name="Good" xfId="76" builtinId="26" customBuiltin="1"/>
    <cellStyle name="Good 2" xfId="43"/>
    <cellStyle name="HeaderGroupStyle" xfId="2900"/>
    <cellStyle name="HeaderStyle" xfId="2899"/>
    <cellStyle name="Heading 1" xfId="4" builtinId="16" customBuiltin="1"/>
    <cellStyle name="Heading 1 2" xfId="44"/>
    <cellStyle name="Heading 2" xfId="5" builtinId="17" customBuiltin="1"/>
    <cellStyle name="Heading 2 2" xfId="45"/>
    <cellStyle name="Heading 3" xfId="6" builtinId="18" customBuiltin="1"/>
    <cellStyle name="Heading 3 2" xfId="46"/>
    <cellStyle name="Heading 4" xfId="75" builtinId="19" customBuiltin="1"/>
    <cellStyle name="Heading 4 2" xfId="47"/>
    <cellStyle name="HIDE_NUL" xfId="48"/>
    <cellStyle name="Input" xfId="78" builtinId="20" customBuiltin="1"/>
    <cellStyle name="Input 2" xfId="49"/>
    <cellStyle name="Linked Cell" xfId="81" builtinId="24" customBuiltin="1"/>
    <cellStyle name="Linked Cell 2" xfId="50"/>
    <cellStyle name="LockedStyle" xfId="2897"/>
    <cellStyle name="ModuleHeaderFirstStyle" xfId="2892"/>
    <cellStyle name="ModuleHeaderSecondStyle" xfId="2893"/>
    <cellStyle name="Neutral" xfId="77" builtinId="28" customBuiltin="1"/>
    <cellStyle name="Neutral 2" xfId="51"/>
    <cellStyle name="Normal" xfId="0" builtinId="0"/>
    <cellStyle name="Normal 10" xfId="73"/>
    <cellStyle name="Normal 10 2" xfId="140"/>
    <cellStyle name="Normal 10 2 2" xfId="217"/>
    <cellStyle name="Normal 10 2 2 2" xfId="353"/>
    <cellStyle name="Normal 10 2 2 2 2" xfId="869"/>
    <cellStyle name="Normal 10 2 2 2 2 2" xfId="2273"/>
    <cellStyle name="Normal 10 2 2 2 3" xfId="1313"/>
    <cellStyle name="Normal 10 2 2 2 3 2" xfId="2717"/>
    <cellStyle name="Normal 10 2 2 2 4" xfId="1757"/>
    <cellStyle name="Normal 10 2 2 3" xfId="525"/>
    <cellStyle name="Normal 10 2 2 3 2" xfId="969"/>
    <cellStyle name="Normal 10 2 2 3 2 2" xfId="2373"/>
    <cellStyle name="Normal 10 2 2 3 3" xfId="1413"/>
    <cellStyle name="Normal 10 2 2 3 3 2" xfId="2817"/>
    <cellStyle name="Normal 10 2 2 3 4" xfId="1929"/>
    <cellStyle name="Normal 10 2 2 4" xfId="697"/>
    <cellStyle name="Normal 10 2 2 4 2" xfId="2101"/>
    <cellStyle name="Normal 10 2 2 5" xfId="1141"/>
    <cellStyle name="Normal 10 2 2 5 2" xfId="2545"/>
    <cellStyle name="Normal 10 2 2 6" xfId="1621"/>
    <cellStyle name="Normal 10 2 3" xfId="276"/>
    <cellStyle name="Normal 10 2 3 2" xfId="448"/>
    <cellStyle name="Normal 10 2 3 2 2" xfId="792"/>
    <cellStyle name="Normal 10 2 3 2 2 2" xfId="2196"/>
    <cellStyle name="Normal 10 2 3 2 3" xfId="1236"/>
    <cellStyle name="Normal 10 2 3 2 3 2" xfId="2640"/>
    <cellStyle name="Normal 10 2 3 2 4" xfId="1852"/>
    <cellStyle name="Normal 10 2 3 3" xfId="620"/>
    <cellStyle name="Normal 10 2 3 3 2" xfId="1481"/>
    <cellStyle name="Normal 10 2 3 3 2 2" xfId="2885"/>
    <cellStyle name="Normal 10 2 3 3 3" xfId="2024"/>
    <cellStyle name="Normal 10 2 3 4" xfId="1064"/>
    <cellStyle name="Normal 10 2 3 4 2" xfId="2468"/>
    <cellStyle name="Normal 10 2 3 5" xfId="1680"/>
    <cellStyle name="Normal 10 2 4" xfId="391"/>
    <cellStyle name="Normal 10 2 4 2" xfId="735"/>
    <cellStyle name="Normal 10 2 4 2 2" xfId="2139"/>
    <cellStyle name="Normal 10 2 4 3" xfId="1179"/>
    <cellStyle name="Normal 10 2 4 3 2" xfId="2583"/>
    <cellStyle name="Normal 10 2 4 4" xfId="1795"/>
    <cellStyle name="Normal 10 2 5" xfId="563"/>
    <cellStyle name="Normal 10 2 5 2" xfId="1451"/>
    <cellStyle name="Normal 10 2 5 2 2" xfId="2855"/>
    <cellStyle name="Normal 10 2 5 3" xfId="1967"/>
    <cellStyle name="Normal 10 2 6" xfId="1007"/>
    <cellStyle name="Normal 10 2 6 2" xfId="2411"/>
    <cellStyle name="Normal 10 2 7" xfId="1544"/>
    <cellStyle name="Normal 10 3" xfId="160"/>
    <cellStyle name="Normal 10 3 2" xfId="296"/>
    <cellStyle name="Normal 10 3 2 2" xfId="812"/>
    <cellStyle name="Normal 10 3 2 2 2" xfId="2216"/>
    <cellStyle name="Normal 10 3 2 3" xfId="1256"/>
    <cellStyle name="Normal 10 3 2 3 2" xfId="2660"/>
    <cellStyle name="Normal 10 3 2 4" xfId="1700"/>
    <cellStyle name="Normal 10 3 3" xfId="468"/>
    <cellStyle name="Normal 10 3 3 2" xfId="912"/>
    <cellStyle name="Normal 10 3 3 2 2" xfId="2316"/>
    <cellStyle name="Normal 10 3 3 3" xfId="1356"/>
    <cellStyle name="Normal 10 3 3 3 2" xfId="2760"/>
    <cellStyle name="Normal 10 3 3 4" xfId="1872"/>
    <cellStyle name="Normal 10 3 4" xfId="640"/>
    <cellStyle name="Normal 10 3 4 2" xfId="2044"/>
    <cellStyle name="Normal 10 3 5" xfId="1084"/>
    <cellStyle name="Normal 10 3 5 2" xfId="2488"/>
    <cellStyle name="Normal 10 3 6" xfId="1564"/>
    <cellStyle name="Normal 10 4" xfId="187"/>
    <cellStyle name="Normal 10 4 2" xfId="323"/>
    <cellStyle name="Normal 10 4 2 2" xfId="839"/>
    <cellStyle name="Normal 10 4 2 2 2" xfId="2243"/>
    <cellStyle name="Normal 10 4 2 3" xfId="1283"/>
    <cellStyle name="Normal 10 4 2 3 2" xfId="2687"/>
    <cellStyle name="Normal 10 4 2 4" xfId="1727"/>
    <cellStyle name="Normal 10 4 3" xfId="495"/>
    <cellStyle name="Normal 10 4 3 2" xfId="939"/>
    <cellStyle name="Normal 10 4 3 2 2" xfId="2343"/>
    <cellStyle name="Normal 10 4 3 3" xfId="1383"/>
    <cellStyle name="Normal 10 4 3 3 2" xfId="2787"/>
    <cellStyle name="Normal 10 4 3 4" xfId="1899"/>
    <cellStyle name="Normal 10 4 4" xfId="667"/>
    <cellStyle name="Normal 10 4 4 2" xfId="2071"/>
    <cellStyle name="Normal 10 4 5" xfId="1111"/>
    <cellStyle name="Normal 10 4 5 2" xfId="2515"/>
    <cellStyle name="Normal 10 4 6" xfId="1591"/>
    <cellStyle name="Normal 10 5" xfId="234"/>
    <cellStyle name="Normal 10 5 2" xfId="418"/>
    <cellStyle name="Normal 10 5 2 2" xfId="762"/>
    <cellStyle name="Normal 10 5 2 2 2" xfId="2166"/>
    <cellStyle name="Normal 10 5 2 3" xfId="1206"/>
    <cellStyle name="Normal 10 5 2 3 2" xfId="2610"/>
    <cellStyle name="Normal 10 5 2 4" xfId="1822"/>
    <cellStyle name="Normal 10 5 3" xfId="590"/>
    <cellStyle name="Normal 10 5 3 2" xfId="1466"/>
    <cellStyle name="Normal 10 5 3 2 2" xfId="2870"/>
    <cellStyle name="Normal 10 5 3 3" xfId="1994"/>
    <cellStyle name="Normal 10 5 4" xfId="1034"/>
    <cellStyle name="Normal 10 5 4 2" xfId="2438"/>
    <cellStyle name="Normal 10 5 5" xfId="1638"/>
    <cellStyle name="Normal 10 6" xfId="373"/>
    <cellStyle name="Normal 10 6 2" xfId="717"/>
    <cellStyle name="Normal 10 6 2 2" xfId="2121"/>
    <cellStyle name="Normal 10 6 3" xfId="1161"/>
    <cellStyle name="Normal 10 6 3 2" xfId="2565"/>
    <cellStyle name="Normal 10 6 4" xfId="1777"/>
    <cellStyle name="Normal 10 7" xfId="545"/>
    <cellStyle name="Normal 10 7 2" xfId="1433"/>
    <cellStyle name="Normal 10 7 2 2" xfId="2837"/>
    <cellStyle name="Normal 10 7 3" xfId="1949"/>
    <cellStyle name="Normal 10 8" xfId="989"/>
    <cellStyle name="Normal 10 8 2" xfId="2393"/>
    <cellStyle name="Normal 10 9" xfId="1502"/>
    <cellStyle name="Normal 11" xfId="110"/>
    <cellStyle name="Normal 11 2" xfId="141"/>
    <cellStyle name="Normal 11 2 2" xfId="218"/>
    <cellStyle name="Normal 11 2 2 2" xfId="354"/>
    <cellStyle name="Normal 11 2 2 2 2" xfId="870"/>
    <cellStyle name="Normal 11 2 2 2 2 2" xfId="2274"/>
    <cellStyle name="Normal 11 2 2 2 3" xfId="1314"/>
    <cellStyle name="Normal 11 2 2 2 3 2" xfId="2718"/>
    <cellStyle name="Normal 11 2 2 2 4" xfId="1758"/>
    <cellStyle name="Normal 11 2 2 3" xfId="526"/>
    <cellStyle name="Normal 11 2 2 3 2" xfId="970"/>
    <cellStyle name="Normal 11 2 2 3 2 2" xfId="2374"/>
    <cellStyle name="Normal 11 2 2 3 3" xfId="1414"/>
    <cellStyle name="Normal 11 2 2 3 3 2" xfId="2818"/>
    <cellStyle name="Normal 11 2 2 3 4" xfId="1930"/>
    <cellStyle name="Normal 11 2 2 4" xfId="698"/>
    <cellStyle name="Normal 11 2 2 4 2" xfId="2102"/>
    <cellStyle name="Normal 11 2 2 5" xfId="1142"/>
    <cellStyle name="Normal 11 2 2 5 2" xfId="2546"/>
    <cellStyle name="Normal 11 2 2 6" xfId="1622"/>
    <cellStyle name="Normal 11 2 3" xfId="277"/>
    <cellStyle name="Normal 11 2 3 2" xfId="793"/>
    <cellStyle name="Normal 11 2 3 2 2" xfId="2197"/>
    <cellStyle name="Normal 11 2 3 3" xfId="1237"/>
    <cellStyle name="Normal 11 2 3 3 2" xfId="2641"/>
    <cellStyle name="Normal 11 2 3 4" xfId="1681"/>
    <cellStyle name="Normal 11 2 4" xfId="449"/>
    <cellStyle name="Normal 11 2 4 2" xfId="899"/>
    <cellStyle name="Normal 11 2 4 2 2" xfId="2303"/>
    <cellStyle name="Normal 11 2 4 3" xfId="1343"/>
    <cellStyle name="Normal 11 2 4 3 2" xfId="2747"/>
    <cellStyle name="Normal 11 2 4 4" xfId="1853"/>
    <cellStyle name="Normal 11 2 5" xfId="621"/>
    <cellStyle name="Normal 11 2 5 2" xfId="2025"/>
    <cellStyle name="Normal 11 2 6" xfId="1065"/>
    <cellStyle name="Normal 11 2 6 2" xfId="2469"/>
    <cellStyle name="Normal 11 2 7" xfId="1545"/>
    <cellStyle name="Normal 11 3" xfId="188"/>
    <cellStyle name="Normal 11 3 2" xfId="324"/>
    <cellStyle name="Normal 11 3 2 2" xfId="840"/>
    <cellStyle name="Normal 11 3 2 2 2" xfId="2244"/>
    <cellStyle name="Normal 11 3 2 3" xfId="1284"/>
    <cellStyle name="Normal 11 3 2 3 2" xfId="2688"/>
    <cellStyle name="Normal 11 3 2 4" xfId="1728"/>
    <cellStyle name="Normal 11 3 3" xfId="496"/>
    <cellStyle name="Normal 11 3 3 2" xfId="940"/>
    <cellStyle name="Normal 11 3 3 2 2" xfId="2344"/>
    <cellStyle name="Normal 11 3 3 3" xfId="1384"/>
    <cellStyle name="Normal 11 3 3 3 2" xfId="2788"/>
    <cellStyle name="Normal 11 3 3 4" xfId="1900"/>
    <cellStyle name="Normal 11 3 4" xfId="668"/>
    <cellStyle name="Normal 11 3 4 2" xfId="2072"/>
    <cellStyle name="Normal 11 3 5" xfId="1112"/>
    <cellStyle name="Normal 11 3 5 2" xfId="2516"/>
    <cellStyle name="Normal 11 3 6" xfId="1592"/>
    <cellStyle name="Normal 11 4" xfId="247"/>
    <cellStyle name="Normal 11 4 2" xfId="763"/>
    <cellStyle name="Normal 11 4 2 2" xfId="2167"/>
    <cellStyle name="Normal 11 4 3" xfId="1207"/>
    <cellStyle name="Normal 11 4 3 2" xfId="2611"/>
    <cellStyle name="Normal 11 4 4" xfId="1651"/>
    <cellStyle name="Normal 11 5" xfId="419"/>
    <cellStyle name="Normal 11 5 2" xfId="884"/>
    <cellStyle name="Normal 11 5 2 2" xfId="2288"/>
    <cellStyle name="Normal 11 5 3" xfId="1328"/>
    <cellStyle name="Normal 11 5 3 2" xfId="2732"/>
    <cellStyle name="Normal 11 5 4" xfId="1823"/>
    <cellStyle name="Normal 11 6" xfId="591"/>
    <cellStyle name="Normal 11 6 2" xfId="1995"/>
    <cellStyle name="Normal 11 7" xfId="1035"/>
    <cellStyle name="Normal 11 7 2" xfId="2439"/>
    <cellStyle name="Normal 11 8" xfId="1515"/>
    <cellStyle name="Normal 12" xfId="125"/>
    <cellStyle name="Normal 13" xfId="112"/>
    <cellStyle name="Normal 13 2" xfId="190"/>
    <cellStyle name="Normal 13 2 2" xfId="326"/>
    <cellStyle name="Normal 13 2 2 2" xfId="842"/>
    <cellStyle name="Normal 13 2 2 2 2" xfId="2246"/>
    <cellStyle name="Normal 13 2 2 3" xfId="1286"/>
    <cellStyle name="Normal 13 2 2 3 2" xfId="2690"/>
    <cellStyle name="Normal 13 2 2 4" xfId="1730"/>
    <cellStyle name="Normal 13 2 3" xfId="498"/>
    <cellStyle name="Normal 13 2 3 2" xfId="942"/>
    <cellStyle name="Normal 13 2 3 2 2" xfId="2346"/>
    <cellStyle name="Normal 13 2 3 3" xfId="1386"/>
    <cellStyle name="Normal 13 2 3 3 2" xfId="2790"/>
    <cellStyle name="Normal 13 2 3 4" xfId="1902"/>
    <cellStyle name="Normal 13 2 4" xfId="670"/>
    <cellStyle name="Normal 13 2 4 2" xfId="2074"/>
    <cellStyle name="Normal 13 2 5" xfId="1114"/>
    <cellStyle name="Normal 13 2 5 2" xfId="2518"/>
    <cellStyle name="Normal 13 2 6" xfId="1594"/>
    <cellStyle name="Normal 13 3" xfId="249"/>
    <cellStyle name="Normal 13 3 2" xfId="765"/>
    <cellStyle name="Normal 13 3 2 2" xfId="2169"/>
    <cellStyle name="Normal 13 3 3" xfId="1209"/>
    <cellStyle name="Normal 13 3 3 2" xfId="2613"/>
    <cellStyle name="Normal 13 3 4" xfId="1653"/>
    <cellStyle name="Normal 13 4" xfId="421"/>
    <cellStyle name="Normal 13 4 2" xfId="886"/>
    <cellStyle name="Normal 13 4 2 2" xfId="2290"/>
    <cellStyle name="Normal 13 4 3" xfId="1330"/>
    <cellStyle name="Normal 13 4 3 2" xfId="2734"/>
    <cellStyle name="Normal 13 4 4" xfId="1825"/>
    <cellStyle name="Normal 13 5" xfId="593"/>
    <cellStyle name="Normal 13 5 2" xfId="1997"/>
    <cellStyle name="Normal 13 6" xfId="1037"/>
    <cellStyle name="Normal 13 6 2" xfId="2441"/>
    <cellStyle name="Normal 13 7" xfId="1517"/>
    <cellStyle name="Normal 2" xfId="1"/>
    <cellStyle name="Normal 3" xfId="2"/>
    <cellStyle name="Normal 3 2" xfId="3"/>
    <cellStyle name="Normal 4" xfId="8"/>
    <cellStyle name="Normal 5" xfId="9"/>
    <cellStyle name="Normal 6" xfId="7"/>
    <cellStyle name="Normal 7" xfId="58"/>
    <cellStyle name="Normal 7 10" xfId="528"/>
    <cellStyle name="Normal 7 10 2" xfId="1416"/>
    <cellStyle name="Normal 7 10 2 2" xfId="2820"/>
    <cellStyle name="Normal 7 10 3" xfId="1932"/>
    <cellStyle name="Normal 7 11" xfId="972"/>
    <cellStyle name="Normal 7 11 2" xfId="2376"/>
    <cellStyle name="Normal 7 12" xfId="1488"/>
    <cellStyle name="Normal 7 2" xfId="60"/>
    <cellStyle name="Normal 7 2 10" xfId="973"/>
    <cellStyle name="Normal 7 2 10 2" xfId="2377"/>
    <cellStyle name="Normal 7 2 11" xfId="1490"/>
    <cellStyle name="Normal 7 2 2" xfId="63"/>
    <cellStyle name="Normal 7 2 2 10" xfId="1493"/>
    <cellStyle name="Normal 7 2 2 2" xfId="71"/>
    <cellStyle name="Normal 7 2 2 2 2" xfId="138"/>
    <cellStyle name="Normal 7 2 2 2 2 2" xfId="215"/>
    <cellStyle name="Normal 7 2 2 2 2 2 2" xfId="351"/>
    <cellStyle name="Normal 7 2 2 2 2 2 2 2" xfId="867"/>
    <cellStyle name="Normal 7 2 2 2 2 2 2 2 2" xfId="2271"/>
    <cellStyle name="Normal 7 2 2 2 2 2 2 3" xfId="1311"/>
    <cellStyle name="Normal 7 2 2 2 2 2 2 3 2" xfId="2715"/>
    <cellStyle name="Normal 7 2 2 2 2 2 2 4" xfId="1755"/>
    <cellStyle name="Normal 7 2 2 2 2 2 3" xfId="523"/>
    <cellStyle name="Normal 7 2 2 2 2 2 3 2" xfId="967"/>
    <cellStyle name="Normal 7 2 2 2 2 2 3 2 2" xfId="2371"/>
    <cellStyle name="Normal 7 2 2 2 2 2 3 3" xfId="1411"/>
    <cellStyle name="Normal 7 2 2 2 2 2 3 3 2" xfId="2815"/>
    <cellStyle name="Normal 7 2 2 2 2 2 3 4" xfId="1927"/>
    <cellStyle name="Normal 7 2 2 2 2 2 4" xfId="695"/>
    <cellStyle name="Normal 7 2 2 2 2 2 4 2" xfId="2099"/>
    <cellStyle name="Normal 7 2 2 2 2 2 5" xfId="1139"/>
    <cellStyle name="Normal 7 2 2 2 2 2 5 2" xfId="2543"/>
    <cellStyle name="Normal 7 2 2 2 2 2 6" xfId="1619"/>
    <cellStyle name="Normal 7 2 2 2 2 3" xfId="274"/>
    <cellStyle name="Normal 7 2 2 2 2 3 2" xfId="446"/>
    <cellStyle name="Normal 7 2 2 2 2 3 2 2" xfId="790"/>
    <cellStyle name="Normal 7 2 2 2 2 3 2 2 2" xfId="2194"/>
    <cellStyle name="Normal 7 2 2 2 2 3 2 3" xfId="1234"/>
    <cellStyle name="Normal 7 2 2 2 2 3 2 3 2" xfId="2638"/>
    <cellStyle name="Normal 7 2 2 2 2 3 2 4" xfId="1850"/>
    <cellStyle name="Normal 7 2 2 2 2 3 3" xfId="618"/>
    <cellStyle name="Normal 7 2 2 2 2 3 3 2" xfId="1479"/>
    <cellStyle name="Normal 7 2 2 2 2 3 3 2 2" xfId="2883"/>
    <cellStyle name="Normal 7 2 2 2 2 3 3 3" xfId="2022"/>
    <cellStyle name="Normal 7 2 2 2 2 3 4" xfId="1062"/>
    <cellStyle name="Normal 7 2 2 2 2 3 4 2" xfId="2466"/>
    <cellStyle name="Normal 7 2 2 2 2 3 5" xfId="1678"/>
    <cellStyle name="Normal 7 2 2 2 2 4" xfId="389"/>
    <cellStyle name="Normal 7 2 2 2 2 4 2" xfId="733"/>
    <cellStyle name="Normal 7 2 2 2 2 4 2 2" xfId="2137"/>
    <cellStyle name="Normal 7 2 2 2 2 4 3" xfId="1177"/>
    <cellStyle name="Normal 7 2 2 2 2 4 3 2" xfId="2581"/>
    <cellStyle name="Normal 7 2 2 2 2 4 4" xfId="1793"/>
    <cellStyle name="Normal 7 2 2 2 2 5" xfId="561"/>
    <cellStyle name="Normal 7 2 2 2 2 5 2" xfId="1449"/>
    <cellStyle name="Normal 7 2 2 2 2 5 2 2" xfId="2853"/>
    <cellStyle name="Normal 7 2 2 2 2 5 3" xfId="1965"/>
    <cellStyle name="Normal 7 2 2 2 2 6" xfId="1005"/>
    <cellStyle name="Normal 7 2 2 2 2 6 2" xfId="2409"/>
    <cellStyle name="Normal 7 2 2 2 2 7" xfId="1542"/>
    <cellStyle name="Normal 7 2 2 2 3" xfId="158"/>
    <cellStyle name="Normal 7 2 2 2 3 2" xfId="294"/>
    <cellStyle name="Normal 7 2 2 2 3 2 2" xfId="810"/>
    <cellStyle name="Normal 7 2 2 2 3 2 2 2" xfId="2214"/>
    <cellStyle name="Normal 7 2 2 2 3 2 3" xfId="1254"/>
    <cellStyle name="Normal 7 2 2 2 3 2 3 2" xfId="2658"/>
    <cellStyle name="Normal 7 2 2 2 3 2 4" xfId="1698"/>
    <cellStyle name="Normal 7 2 2 2 3 3" xfId="466"/>
    <cellStyle name="Normal 7 2 2 2 3 3 2" xfId="910"/>
    <cellStyle name="Normal 7 2 2 2 3 3 2 2" xfId="2314"/>
    <cellStyle name="Normal 7 2 2 2 3 3 3" xfId="1354"/>
    <cellStyle name="Normal 7 2 2 2 3 3 3 2" xfId="2758"/>
    <cellStyle name="Normal 7 2 2 2 3 3 4" xfId="1870"/>
    <cellStyle name="Normal 7 2 2 2 3 4" xfId="638"/>
    <cellStyle name="Normal 7 2 2 2 3 4 2" xfId="2042"/>
    <cellStyle name="Normal 7 2 2 2 3 5" xfId="1082"/>
    <cellStyle name="Normal 7 2 2 2 3 5 2" xfId="2486"/>
    <cellStyle name="Normal 7 2 2 2 3 6" xfId="1562"/>
    <cellStyle name="Normal 7 2 2 2 4" xfId="185"/>
    <cellStyle name="Normal 7 2 2 2 4 2" xfId="321"/>
    <cellStyle name="Normal 7 2 2 2 4 2 2" xfId="837"/>
    <cellStyle name="Normal 7 2 2 2 4 2 2 2" xfId="2241"/>
    <cellStyle name="Normal 7 2 2 2 4 2 3" xfId="1281"/>
    <cellStyle name="Normal 7 2 2 2 4 2 3 2" xfId="2685"/>
    <cellStyle name="Normal 7 2 2 2 4 2 4" xfId="1725"/>
    <cellStyle name="Normal 7 2 2 2 4 3" xfId="493"/>
    <cellStyle name="Normal 7 2 2 2 4 3 2" xfId="937"/>
    <cellStyle name="Normal 7 2 2 2 4 3 2 2" xfId="2341"/>
    <cellStyle name="Normal 7 2 2 2 4 3 3" xfId="1381"/>
    <cellStyle name="Normal 7 2 2 2 4 3 3 2" xfId="2785"/>
    <cellStyle name="Normal 7 2 2 2 4 3 4" xfId="1897"/>
    <cellStyle name="Normal 7 2 2 2 4 4" xfId="665"/>
    <cellStyle name="Normal 7 2 2 2 4 4 2" xfId="2069"/>
    <cellStyle name="Normal 7 2 2 2 4 5" xfId="1109"/>
    <cellStyle name="Normal 7 2 2 2 4 5 2" xfId="2513"/>
    <cellStyle name="Normal 7 2 2 2 4 6" xfId="1589"/>
    <cellStyle name="Normal 7 2 2 2 5" xfId="232"/>
    <cellStyle name="Normal 7 2 2 2 5 2" xfId="416"/>
    <cellStyle name="Normal 7 2 2 2 5 2 2" xfId="760"/>
    <cellStyle name="Normal 7 2 2 2 5 2 2 2" xfId="2164"/>
    <cellStyle name="Normal 7 2 2 2 5 2 3" xfId="1204"/>
    <cellStyle name="Normal 7 2 2 2 5 2 3 2" xfId="2608"/>
    <cellStyle name="Normal 7 2 2 2 5 2 4" xfId="1820"/>
    <cellStyle name="Normal 7 2 2 2 5 3" xfId="588"/>
    <cellStyle name="Normal 7 2 2 2 5 3 2" xfId="1464"/>
    <cellStyle name="Normal 7 2 2 2 5 3 2 2" xfId="2868"/>
    <cellStyle name="Normal 7 2 2 2 5 3 3" xfId="1992"/>
    <cellStyle name="Normal 7 2 2 2 5 4" xfId="1032"/>
    <cellStyle name="Normal 7 2 2 2 5 4 2" xfId="2436"/>
    <cellStyle name="Normal 7 2 2 2 5 5" xfId="1636"/>
    <cellStyle name="Normal 7 2 2 2 6" xfId="371"/>
    <cellStyle name="Normal 7 2 2 2 6 2" xfId="715"/>
    <cellStyle name="Normal 7 2 2 2 6 2 2" xfId="2119"/>
    <cellStyle name="Normal 7 2 2 2 6 3" xfId="1159"/>
    <cellStyle name="Normal 7 2 2 2 6 3 2" xfId="2563"/>
    <cellStyle name="Normal 7 2 2 2 6 4" xfId="1775"/>
    <cellStyle name="Normal 7 2 2 2 7" xfId="543"/>
    <cellStyle name="Normal 7 2 2 2 7 2" xfId="1431"/>
    <cellStyle name="Normal 7 2 2 2 7 2 2" xfId="2835"/>
    <cellStyle name="Normal 7 2 2 2 7 3" xfId="1947"/>
    <cellStyle name="Normal 7 2 2 2 8" xfId="987"/>
    <cellStyle name="Normal 7 2 2 2 8 2" xfId="2391"/>
    <cellStyle name="Normal 7 2 2 2 9" xfId="1500"/>
    <cellStyle name="Normal 7 2 2 3" xfId="131"/>
    <cellStyle name="Normal 7 2 2 3 2" xfId="208"/>
    <cellStyle name="Normal 7 2 2 3 2 2" xfId="344"/>
    <cellStyle name="Normal 7 2 2 3 2 2 2" xfId="860"/>
    <cellStyle name="Normal 7 2 2 3 2 2 2 2" xfId="2264"/>
    <cellStyle name="Normal 7 2 2 3 2 2 3" xfId="1304"/>
    <cellStyle name="Normal 7 2 2 3 2 2 3 2" xfId="2708"/>
    <cellStyle name="Normal 7 2 2 3 2 2 4" xfId="1748"/>
    <cellStyle name="Normal 7 2 2 3 2 3" xfId="516"/>
    <cellStyle name="Normal 7 2 2 3 2 3 2" xfId="960"/>
    <cellStyle name="Normal 7 2 2 3 2 3 2 2" xfId="2364"/>
    <cellStyle name="Normal 7 2 2 3 2 3 3" xfId="1404"/>
    <cellStyle name="Normal 7 2 2 3 2 3 3 2" xfId="2808"/>
    <cellStyle name="Normal 7 2 2 3 2 3 4" xfId="1920"/>
    <cellStyle name="Normal 7 2 2 3 2 4" xfId="688"/>
    <cellStyle name="Normal 7 2 2 3 2 4 2" xfId="2092"/>
    <cellStyle name="Normal 7 2 2 3 2 5" xfId="1132"/>
    <cellStyle name="Normal 7 2 2 3 2 5 2" xfId="2536"/>
    <cellStyle name="Normal 7 2 2 3 2 6" xfId="1612"/>
    <cellStyle name="Normal 7 2 2 3 3" xfId="267"/>
    <cellStyle name="Normal 7 2 2 3 3 2" xfId="439"/>
    <cellStyle name="Normal 7 2 2 3 3 2 2" xfId="783"/>
    <cellStyle name="Normal 7 2 2 3 3 2 2 2" xfId="2187"/>
    <cellStyle name="Normal 7 2 2 3 3 2 3" xfId="1227"/>
    <cellStyle name="Normal 7 2 2 3 3 2 3 2" xfId="2631"/>
    <cellStyle name="Normal 7 2 2 3 3 2 4" xfId="1843"/>
    <cellStyle name="Normal 7 2 2 3 3 3" xfId="611"/>
    <cellStyle name="Normal 7 2 2 3 3 3 2" xfId="1472"/>
    <cellStyle name="Normal 7 2 2 3 3 3 2 2" xfId="2876"/>
    <cellStyle name="Normal 7 2 2 3 3 3 3" xfId="2015"/>
    <cellStyle name="Normal 7 2 2 3 3 4" xfId="1055"/>
    <cellStyle name="Normal 7 2 2 3 3 4 2" xfId="2459"/>
    <cellStyle name="Normal 7 2 2 3 3 5" xfId="1671"/>
    <cellStyle name="Normal 7 2 2 3 4" xfId="382"/>
    <cellStyle name="Normal 7 2 2 3 4 2" xfId="726"/>
    <cellStyle name="Normal 7 2 2 3 4 2 2" xfId="2130"/>
    <cellStyle name="Normal 7 2 2 3 4 3" xfId="1170"/>
    <cellStyle name="Normal 7 2 2 3 4 3 2" xfId="2574"/>
    <cellStyle name="Normal 7 2 2 3 4 4" xfId="1786"/>
    <cellStyle name="Normal 7 2 2 3 5" xfId="554"/>
    <cellStyle name="Normal 7 2 2 3 5 2" xfId="1442"/>
    <cellStyle name="Normal 7 2 2 3 5 2 2" xfId="2846"/>
    <cellStyle name="Normal 7 2 2 3 5 3" xfId="1958"/>
    <cellStyle name="Normal 7 2 2 3 6" xfId="998"/>
    <cellStyle name="Normal 7 2 2 3 6 2" xfId="2402"/>
    <cellStyle name="Normal 7 2 2 3 7" xfId="1535"/>
    <cellStyle name="Normal 7 2 2 4" xfId="151"/>
    <cellStyle name="Normal 7 2 2 4 2" xfId="287"/>
    <cellStyle name="Normal 7 2 2 4 2 2" xfId="803"/>
    <cellStyle name="Normal 7 2 2 4 2 2 2" xfId="2207"/>
    <cellStyle name="Normal 7 2 2 4 2 3" xfId="1247"/>
    <cellStyle name="Normal 7 2 2 4 2 3 2" xfId="2651"/>
    <cellStyle name="Normal 7 2 2 4 2 4" xfId="1691"/>
    <cellStyle name="Normal 7 2 2 4 3" xfId="459"/>
    <cellStyle name="Normal 7 2 2 4 3 2" xfId="903"/>
    <cellStyle name="Normal 7 2 2 4 3 2 2" xfId="2307"/>
    <cellStyle name="Normal 7 2 2 4 3 3" xfId="1347"/>
    <cellStyle name="Normal 7 2 2 4 3 3 2" xfId="2751"/>
    <cellStyle name="Normal 7 2 2 4 3 4" xfId="1863"/>
    <cellStyle name="Normal 7 2 2 4 4" xfId="631"/>
    <cellStyle name="Normal 7 2 2 4 4 2" xfId="2035"/>
    <cellStyle name="Normal 7 2 2 4 5" xfId="1075"/>
    <cellStyle name="Normal 7 2 2 4 5 2" xfId="2479"/>
    <cellStyle name="Normal 7 2 2 4 6" xfId="1555"/>
    <cellStyle name="Normal 7 2 2 5" xfId="178"/>
    <cellStyle name="Normal 7 2 2 5 2" xfId="314"/>
    <cellStyle name="Normal 7 2 2 5 2 2" xfId="830"/>
    <cellStyle name="Normal 7 2 2 5 2 2 2" xfId="2234"/>
    <cellStyle name="Normal 7 2 2 5 2 3" xfId="1274"/>
    <cellStyle name="Normal 7 2 2 5 2 3 2" xfId="2678"/>
    <cellStyle name="Normal 7 2 2 5 2 4" xfId="1718"/>
    <cellStyle name="Normal 7 2 2 5 3" xfId="486"/>
    <cellStyle name="Normal 7 2 2 5 3 2" xfId="930"/>
    <cellStyle name="Normal 7 2 2 5 3 2 2" xfId="2334"/>
    <cellStyle name="Normal 7 2 2 5 3 3" xfId="1374"/>
    <cellStyle name="Normal 7 2 2 5 3 3 2" xfId="2778"/>
    <cellStyle name="Normal 7 2 2 5 3 4" xfId="1890"/>
    <cellStyle name="Normal 7 2 2 5 4" xfId="658"/>
    <cellStyle name="Normal 7 2 2 5 4 2" xfId="2062"/>
    <cellStyle name="Normal 7 2 2 5 5" xfId="1102"/>
    <cellStyle name="Normal 7 2 2 5 5 2" xfId="2506"/>
    <cellStyle name="Normal 7 2 2 5 6" xfId="1582"/>
    <cellStyle name="Normal 7 2 2 6" xfId="225"/>
    <cellStyle name="Normal 7 2 2 6 2" xfId="409"/>
    <cellStyle name="Normal 7 2 2 6 2 2" xfId="753"/>
    <cellStyle name="Normal 7 2 2 6 2 2 2" xfId="2157"/>
    <cellStyle name="Normal 7 2 2 6 2 3" xfId="1197"/>
    <cellStyle name="Normal 7 2 2 6 2 3 2" xfId="2601"/>
    <cellStyle name="Normal 7 2 2 6 2 4" xfId="1813"/>
    <cellStyle name="Normal 7 2 2 6 3" xfId="581"/>
    <cellStyle name="Normal 7 2 2 6 3 2" xfId="1457"/>
    <cellStyle name="Normal 7 2 2 6 3 2 2" xfId="2861"/>
    <cellStyle name="Normal 7 2 2 6 3 3" xfId="1985"/>
    <cellStyle name="Normal 7 2 2 6 4" xfId="1025"/>
    <cellStyle name="Normal 7 2 2 6 4 2" xfId="2429"/>
    <cellStyle name="Normal 7 2 2 6 5" xfId="1629"/>
    <cellStyle name="Normal 7 2 2 7" xfId="364"/>
    <cellStyle name="Normal 7 2 2 7 2" xfId="708"/>
    <cellStyle name="Normal 7 2 2 7 2 2" xfId="2112"/>
    <cellStyle name="Normal 7 2 2 7 3" xfId="1152"/>
    <cellStyle name="Normal 7 2 2 7 3 2" xfId="2556"/>
    <cellStyle name="Normal 7 2 2 7 4" xfId="1768"/>
    <cellStyle name="Normal 7 2 2 8" xfId="536"/>
    <cellStyle name="Normal 7 2 2 8 2" xfId="1424"/>
    <cellStyle name="Normal 7 2 2 8 2 2" xfId="2828"/>
    <cellStyle name="Normal 7 2 2 8 3" xfId="1940"/>
    <cellStyle name="Normal 7 2 2 9" xfId="980"/>
    <cellStyle name="Normal 7 2 2 9 2" xfId="2384"/>
    <cellStyle name="Normal 7 2 3" xfId="68"/>
    <cellStyle name="Normal 7 2 3 2" xfId="135"/>
    <cellStyle name="Normal 7 2 3 2 2" xfId="212"/>
    <cellStyle name="Normal 7 2 3 2 2 2" xfId="348"/>
    <cellStyle name="Normal 7 2 3 2 2 2 2" xfId="864"/>
    <cellStyle name="Normal 7 2 3 2 2 2 2 2" xfId="2268"/>
    <cellStyle name="Normal 7 2 3 2 2 2 3" xfId="1308"/>
    <cellStyle name="Normal 7 2 3 2 2 2 3 2" xfId="2712"/>
    <cellStyle name="Normal 7 2 3 2 2 2 4" xfId="1752"/>
    <cellStyle name="Normal 7 2 3 2 2 3" xfId="520"/>
    <cellStyle name="Normal 7 2 3 2 2 3 2" xfId="964"/>
    <cellStyle name="Normal 7 2 3 2 2 3 2 2" xfId="2368"/>
    <cellStyle name="Normal 7 2 3 2 2 3 3" xfId="1408"/>
    <cellStyle name="Normal 7 2 3 2 2 3 3 2" xfId="2812"/>
    <cellStyle name="Normal 7 2 3 2 2 3 4" xfId="1924"/>
    <cellStyle name="Normal 7 2 3 2 2 4" xfId="692"/>
    <cellStyle name="Normal 7 2 3 2 2 4 2" xfId="2096"/>
    <cellStyle name="Normal 7 2 3 2 2 5" xfId="1136"/>
    <cellStyle name="Normal 7 2 3 2 2 5 2" xfId="2540"/>
    <cellStyle name="Normal 7 2 3 2 2 6" xfId="1616"/>
    <cellStyle name="Normal 7 2 3 2 3" xfId="271"/>
    <cellStyle name="Normal 7 2 3 2 3 2" xfId="443"/>
    <cellStyle name="Normal 7 2 3 2 3 2 2" xfId="787"/>
    <cellStyle name="Normal 7 2 3 2 3 2 2 2" xfId="2191"/>
    <cellStyle name="Normal 7 2 3 2 3 2 3" xfId="1231"/>
    <cellStyle name="Normal 7 2 3 2 3 2 3 2" xfId="2635"/>
    <cellStyle name="Normal 7 2 3 2 3 2 4" xfId="1847"/>
    <cellStyle name="Normal 7 2 3 2 3 3" xfId="615"/>
    <cellStyle name="Normal 7 2 3 2 3 3 2" xfId="1476"/>
    <cellStyle name="Normal 7 2 3 2 3 3 2 2" xfId="2880"/>
    <cellStyle name="Normal 7 2 3 2 3 3 3" xfId="2019"/>
    <cellStyle name="Normal 7 2 3 2 3 4" xfId="1059"/>
    <cellStyle name="Normal 7 2 3 2 3 4 2" xfId="2463"/>
    <cellStyle name="Normal 7 2 3 2 3 5" xfId="1675"/>
    <cellStyle name="Normal 7 2 3 2 4" xfId="386"/>
    <cellStyle name="Normal 7 2 3 2 4 2" xfId="730"/>
    <cellStyle name="Normal 7 2 3 2 4 2 2" xfId="2134"/>
    <cellStyle name="Normal 7 2 3 2 4 3" xfId="1174"/>
    <cellStyle name="Normal 7 2 3 2 4 3 2" xfId="2578"/>
    <cellStyle name="Normal 7 2 3 2 4 4" xfId="1790"/>
    <cellStyle name="Normal 7 2 3 2 5" xfId="558"/>
    <cellStyle name="Normal 7 2 3 2 5 2" xfId="1446"/>
    <cellStyle name="Normal 7 2 3 2 5 2 2" xfId="2850"/>
    <cellStyle name="Normal 7 2 3 2 5 3" xfId="1962"/>
    <cellStyle name="Normal 7 2 3 2 6" xfId="1002"/>
    <cellStyle name="Normal 7 2 3 2 6 2" xfId="2406"/>
    <cellStyle name="Normal 7 2 3 2 7" xfId="1539"/>
    <cellStyle name="Normal 7 2 3 3" xfId="155"/>
    <cellStyle name="Normal 7 2 3 3 2" xfId="291"/>
    <cellStyle name="Normal 7 2 3 3 2 2" xfId="807"/>
    <cellStyle name="Normal 7 2 3 3 2 2 2" xfId="2211"/>
    <cellStyle name="Normal 7 2 3 3 2 3" xfId="1251"/>
    <cellStyle name="Normal 7 2 3 3 2 3 2" xfId="2655"/>
    <cellStyle name="Normal 7 2 3 3 2 4" xfId="1695"/>
    <cellStyle name="Normal 7 2 3 3 3" xfId="463"/>
    <cellStyle name="Normal 7 2 3 3 3 2" xfId="907"/>
    <cellStyle name="Normal 7 2 3 3 3 2 2" xfId="2311"/>
    <cellStyle name="Normal 7 2 3 3 3 3" xfId="1351"/>
    <cellStyle name="Normal 7 2 3 3 3 3 2" xfId="2755"/>
    <cellStyle name="Normal 7 2 3 3 3 4" xfId="1867"/>
    <cellStyle name="Normal 7 2 3 3 4" xfId="635"/>
    <cellStyle name="Normal 7 2 3 3 4 2" xfId="2039"/>
    <cellStyle name="Normal 7 2 3 3 5" xfId="1079"/>
    <cellStyle name="Normal 7 2 3 3 5 2" xfId="2483"/>
    <cellStyle name="Normal 7 2 3 3 6" xfId="1559"/>
    <cellStyle name="Normal 7 2 3 4" xfId="182"/>
    <cellStyle name="Normal 7 2 3 4 2" xfId="318"/>
    <cellStyle name="Normal 7 2 3 4 2 2" xfId="834"/>
    <cellStyle name="Normal 7 2 3 4 2 2 2" xfId="2238"/>
    <cellStyle name="Normal 7 2 3 4 2 3" xfId="1278"/>
    <cellStyle name="Normal 7 2 3 4 2 3 2" xfId="2682"/>
    <cellStyle name="Normal 7 2 3 4 2 4" xfId="1722"/>
    <cellStyle name="Normal 7 2 3 4 3" xfId="490"/>
    <cellStyle name="Normal 7 2 3 4 3 2" xfId="934"/>
    <cellStyle name="Normal 7 2 3 4 3 2 2" xfId="2338"/>
    <cellStyle name="Normal 7 2 3 4 3 3" xfId="1378"/>
    <cellStyle name="Normal 7 2 3 4 3 3 2" xfId="2782"/>
    <cellStyle name="Normal 7 2 3 4 3 4" xfId="1894"/>
    <cellStyle name="Normal 7 2 3 4 4" xfId="662"/>
    <cellStyle name="Normal 7 2 3 4 4 2" xfId="2066"/>
    <cellStyle name="Normal 7 2 3 4 5" xfId="1106"/>
    <cellStyle name="Normal 7 2 3 4 5 2" xfId="2510"/>
    <cellStyle name="Normal 7 2 3 4 6" xfId="1586"/>
    <cellStyle name="Normal 7 2 3 5" xfId="229"/>
    <cellStyle name="Normal 7 2 3 5 2" xfId="413"/>
    <cellStyle name="Normal 7 2 3 5 2 2" xfId="757"/>
    <cellStyle name="Normal 7 2 3 5 2 2 2" xfId="2161"/>
    <cellStyle name="Normal 7 2 3 5 2 3" xfId="1201"/>
    <cellStyle name="Normal 7 2 3 5 2 3 2" xfId="2605"/>
    <cellStyle name="Normal 7 2 3 5 2 4" xfId="1817"/>
    <cellStyle name="Normal 7 2 3 5 3" xfId="585"/>
    <cellStyle name="Normal 7 2 3 5 3 2" xfId="1461"/>
    <cellStyle name="Normal 7 2 3 5 3 2 2" xfId="2865"/>
    <cellStyle name="Normal 7 2 3 5 3 3" xfId="1989"/>
    <cellStyle name="Normal 7 2 3 5 4" xfId="1029"/>
    <cellStyle name="Normal 7 2 3 5 4 2" xfId="2433"/>
    <cellStyle name="Normal 7 2 3 5 5" xfId="1633"/>
    <cellStyle name="Normal 7 2 3 6" xfId="368"/>
    <cellStyle name="Normal 7 2 3 6 2" xfId="712"/>
    <cellStyle name="Normal 7 2 3 6 2 2" xfId="2116"/>
    <cellStyle name="Normal 7 2 3 6 3" xfId="1156"/>
    <cellStyle name="Normal 7 2 3 6 3 2" xfId="2560"/>
    <cellStyle name="Normal 7 2 3 6 4" xfId="1772"/>
    <cellStyle name="Normal 7 2 3 7" xfId="540"/>
    <cellStyle name="Normal 7 2 3 7 2" xfId="1428"/>
    <cellStyle name="Normal 7 2 3 7 2 2" xfId="2832"/>
    <cellStyle name="Normal 7 2 3 7 3" xfId="1944"/>
    <cellStyle name="Normal 7 2 3 8" xfId="984"/>
    <cellStyle name="Normal 7 2 3 8 2" xfId="2388"/>
    <cellStyle name="Normal 7 2 3 9" xfId="1497"/>
    <cellStyle name="Normal 7 2 4" xfId="128"/>
    <cellStyle name="Normal 7 2 4 2" xfId="148"/>
    <cellStyle name="Normal 7 2 4 2 2" xfId="284"/>
    <cellStyle name="Normal 7 2 4 2 2 2" xfId="456"/>
    <cellStyle name="Normal 7 2 4 2 2 2 2" xfId="800"/>
    <cellStyle name="Normal 7 2 4 2 2 2 2 2" xfId="2204"/>
    <cellStyle name="Normal 7 2 4 2 2 2 3" xfId="1244"/>
    <cellStyle name="Normal 7 2 4 2 2 2 3 2" xfId="2648"/>
    <cellStyle name="Normal 7 2 4 2 2 2 4" xfId="1860"/>
    <cellStyle name="Normal 7 2 4 2 2 3" xfId="628"/>
    <cellStyle name="Normal 7 2 4 2 2 3 2" xfId="1487"/>
    <cellStyle name="Normal 7 2 4 2 2 3 2 2" xfId="2891"/>
    <cellStyle name="Normal 7 2 4 2 2 3 3" xfId="2032"/>
    <cellStyle name="Normal 7 2 4 2 2 4" xfId="1072"/>
    <cellStyle name="Normal 7 2 4 2 2 4 2" xfId="2476"/>
    <cellStyle name="Normal 7 2 4 2 2 5" xfId="1688"/>
    <cellStyle name="Normal 7 2 4 2 3" xfId="379"/>
    <cellStyle name="Normal 7 2 4 2 3 2" xfId="723"/>
    <cellStyle name="Normal 7 2 4 2 3 2 2" xfId="2127"/>
    <cellStyle name="Normal 7 2 4 2 3 3" xfId="1167"/>
    <cellStyle name="Normal 7 2 4 2 3 3 2" xfId="2571"/>
    <cellStyle name="Normal 7 2 4 2 3 4" xfId="1783"/>
    <cellStyle name="Normal 7 2 4 2 4" xfId="551"/>
    <cellStyle name="Normal 7 2 4 2 4 2" xfId="1439"/>
    <cellStyle name="Normal 7 2 4 2 4 2 2" xfId="2843"/>
    <cellStyle name="Normal 7 2 4 2 4 3" xfId="1955"/>
    <cellStyle name="Normal 7 2 4 2 5" xfId="995"/>
    <cellStyle name="Normal 7 2 4 2 5 2" xfId="2399"/>
    <cellStyle name="Normal 7 2 4 2 6" xfId="1552"/>
    <cellStyle name="Normal 7 2 4 3" xfId="205"/>
    <cellStyle name="Normal 7 2 4 3 2" xfId="341"/>
    <cellStyle name="Normal 7 2 4 3 2 2" xfId="857"/>
    <cellStyle name="Normal 7 2 4 3 2 2 2" xfId="2261"/>
    <cellStyle name="Normal 7 2 4 3 2 3" xfId="1301"/>
    <cellStyle name="Normal 7 2 4 3 2 3 2" xfId="2705"/>
    <cellStyle name="Normal 7 2 4 3 2 4" xfId="1745"/>
    <cellStyle name="Normal 7 2 4 3 3" xfId="513"/>
    <cellStyle name="Normal 7 2 4 3 3 2" xfId="957"/>
    <cellStyle name="Normal 7 2 4 3 3 2 2" xfId="2361"/>
    <cellStyle name="Normal 7 2 4 3 3 3" xfId="1401"/>
    <cellStyle name="Normal 7 2 4 3 3 3 2" xfId="2805"/>
    <cellStyle name="Normal 7 2 4 3 3 4" xfId="1917"/>
    <cellStyle name="Normal 7 2 4 3 4" xfId="685"/>
    <cellStyle name="Normal 7 2 4 3 4 2" xfId="2089"/>
    <cellStyle name="Normal 7 2 4 3 5" xfId="1129"/>
    <cellStyle name="Normal 7 2 4 3 5 2" xfId="2533"/>
    <cellStyle name="Normal 7 2 4 3 6" xfId="1609"/>
    <cellStyle name="Normal 7 2 4 4" xfId="264"/>
    <cellStyle name="Normal 7 2 4 4 2" xfId="436"/>
    <cellStyle name="Normal 7 2 4 4 2 2" xfId="780"/>
    <cellStyle name="Normal 7 2 4 4 2 2 2" xfId="2184"/>
    <cellStyle name="Normal 7 2 4 4 2 3" xfId="1224"/>
    <cellStyle name="Normal 7 2 4 4 2 3 2" xfId="2628"/>
    <cellStyle name="Normal 7 2 4 4 2 4" xfId="1840"/>
    <cellStyle name="Normal 7 2 4 4 3" xfId="608"/>
    <cellStyle name="Normal 7 2 4 4 3 2" xfId="1469"/>
    <cellStyle name="Normal 7 2 4 4 3 2 2" xfId="2873"/>
    <cellStyle name="Normal 7 2 4 4 3 3" xfId="2012"/>
    <cellStyle name="Normal 7 2 4 4 4" xfId="1052"/>
    <cellStyle name="Normal 7 2 4 4 4 2" xfId="2456"/>
    <cellStyle name="Normal 7 2 4 4 5" xfId="1668"/>
    <cellStyle name="Normal 7 2 4 5" xfId="361"/>
    <cellStyle name="Normal 7 2 4 5 2" xfId="705"/>
    <cellStyle name="Normal 7 2 4 5 2 2" xfId="2109"/>
    <cellStyle name="Normal 7 2 4 5 3" xfId="1149"/>
    <cellStyle name="Normal 7 2 4 5 3 2" xfId="2553"/>
    <cellStyle name="Normal 7 2 4 5 4" xfId="1765"/>
    <cellStyle name="Normal 7 2 4 6" xfId="533"/>
    <cellStyle name="Normal 7 2 4 6 2" xfId="1421"/>
    <cellStyle name="Normal 7 2 4 6 2 2" xfId="2825"/>
    <cellStyle name="Normal 7 2 4 6 3" xfId="1937"/>
    <cellStyle name="Normal 7 2 4 7" xfId="977"/>
    <cellStyle name="Normal 7 2 4 7 2" xfId="2381"/>
    <cellStyle name="Normal 7 2 4 8" xfId="1532"/>
    <cellStyle name="Normal 7 2 5" xfId="144"/>
    <cellStyle name="Normal 7 2 5 2" xfId="280"/>
    <cellStyle name="Normal 7 2 5 2 2" xfId="452"/>
    <cellStyle name="Normal 7 2 5 2 2 2" xfId="796"/>
    <cellStyle name="Normal 7 2 5 2 2 2 2" xfId="2200"/>
    <cellStyle name="Normal 7 2 5 2 2 3" xfId="1240"/>
    <cellStyle name="Normal 7 2 5 2 2 3 2" xfId="2644"/>
    <cellStyle name="Normal 7 2 5 2 2 4" xfId="1856"/>
    <cellStyle name="Normal 7 2 5 2 3" xfId="624"/>
    <cellStyle name="Normal 7 2 5 2 3 2" xfId="1483"/>
    <cellStyle name="Normal 7 2 5 2 3 2 2" xfId="2887"/>
    <cellStyle name="Normal 7 2 5 2 3 3" xfId="2028"/>
    <cellStyle name="Normal 7 2 5 2 4" xfId="1068"/>
    <cellStyle name="Normal 7 2 5 2 4 2" xfId="2472"/>
    <cellStyle name="Normal 7 2 5 2 5" xfId="1684"/>
    <cellStyle name="Normal 7 2 5 3" xfId="375"/>
    <cellStyle name="Normal 7 2 5 3 2" xfId="719"/>
    <cellStyle name="Normal 7 2 5 3 2 2" xfId="2123"/>
    <cellStyle name="Normal 7 2 5 3 3" xfId="1163"/>
    <cellStyle name="Normal 7 2 5 3 3 2" xfId="2567"/>
    <cellStyle name="Normal 7 2 5 3 4" xfId="1779"/>
    <cellStyle name="Normal 7 2 5 4" xfId="547"/>
    <cellStyle name="Normal 7 2 5 4 2" xfId="1435"/>
    <cellStyle name="Normal 7 2 5 4 2 2" xfId="2839"/>
    <cellStyle name="Normal 7 2 5 4 3" xfId="1951"/>
    <cellStyle name="Normal 7 2 5 5" xfId="991"/>
    <cellStyle name="Normal 7 2 5 5 2" xfId="2395"/>
    <cellStyle name="Normal 7 2 5 6" xfId="1548"/>
    <cellStyle name="Normal 7 2 6" xfId="175"/>
    <cellStyle name="Normal 7 2 6 2" xfId="311"/>
    <cellStyle name="Normal 7 2 6 2 2" xfId="827"/>
    <cellStyle name="Normal 7 2 6 2 2 2" xfId="2231"/>
    <cellStyle name="Normal 7 2 6 2 3" xfId="1271"/>
    <cellStyle name="Normal 7 2 6 2 3 2" xfId="2675"/>
    <cellStyle name="Normal 7 2 6 2 4" xfId="1715"/>
    <cellStyle name="Normal 7 2 6 3" xfId="483"/>
    <cellStyle name="Normal 7 2 6 3 2" xfId="927"/>
    <cellStyle name="Normal 7 2 6 3 2 2" xfId="2331"/>
    <cellStyle name="Normal 7 2 6 3 3" xfId="1371"/>
    <cellStyle name="Normal 7 2 6 3 3 2" xfId="2775"/>
    <cellStyle name="Normal 7 2 6 3 4" xfId="1887"/>
    <cellStyle name="Normal 7 2 6 4" xfId="655"/>
    <cellStyle name="Normal 7 2 6 4 2" xfId="2059"/>
    <cellStyle name="Normal 7 2 6 5" xfId="1099"/>
    <cellStyle name="Normal 7 2 6 5 2" xfId="2503"/>
    <cellStyle name="Normal 7 2 6 6" xfId="1579"/>
    <cellStyle name="Normal 7 2 7" xfId="222"/>
    <cellStyle name="Normal 7 2 7 2" xfId="406"/>
    <cellStyle name="Normal 7 2 7 2 2" xfId="750"/>
    <cellStyle name="Normal 7 2 7 2 2 2" xfId="2154"/>
    <cellStyle name="Normal 7 2 7 2 3" xfId="1194"/>
    <cellStyle name="Normal 7 2 7 2 3 2" xfId="2598"/>
    <cellStyle name="Normal 7 2 7 2 4" xfId="1810"/>
    <cellStyle name="Normal 7 2 7 3" xfId="578"/>
    <cellStyle name="Normal 7 2 7 3 2" xfId="1454"/>
    <cellStyle name="Normal 7 2 7 3 2 2" xfId="2858"/>
    <cellStyle name="Normal 7 2 7 3 3" xfId="1982"/>
    <cellStyle name="Normal 7 2 7 4" xfId="1022"/>
    <cellStyle name="Normal 7 2 7 4 2" xfId="2426"/>
    <cellStyle name="Normal 7 2 7 5" xfId="1626"/>
    <cellStyle name="Normal 7 2 8" xfId="357"/>
    <cellStyle name="Normal 7 2 8 2" xfId="701"/>
    <cellStyle name="Normal 7 2 8 2 2" xfId="2105"/>
    <cellStyle name="Normal 7 2 8 3" xfId="1145"/>
    <cellStyle name="Normal 7 2 8 3 2" xfId="2549"/>
    <cellStyle name="Normal 7 2 8 4" xfId="1761"/>
    <cellStyle name="Normal 7 2 9" xfId="529"/>
    <cellStyle name="Normal 7 2 9 2" xfId="1417"/>
    <cellStyle name="Normal 7 2 9 2 2" xfId="2821"/>
    <cellStyle name="Normal 7 2 9 3" xfId="1933"/>
    <cellStyle name="Normal 7 3" xfId="61"/>
    <cellStyle name="Normal 7 3 10" xfId="1491"/>
    <cellStyle name="Normal 7 3 2" xfId="69"/>
    <cellStyle name="Normal 7 3 2 2" xfId="136"/>
    <cellStyle name="Normal 7 3 2 2 2" xfId="213"/>
    <cellStyle name="Normal 7 3 2 2 2 2" xfId="349"/>
    <cellStyle name="Normal 7 3 2 2 2 2 2" xfId="865"/>
    <cellStyle name="Normal 7 3 2 2 2 2 2 2" xfId="2269"/>
    <cellStyle name="Normal 7 3 2 2 2 2 3" xfId="1309"/>
    <cellStyle name="Normal 7 3 2 2 2 2 3 2" xfId="2713"/>
    <cellStyle name="Normal 7 3 2 2 2 2 4" xfId="1753"/>
    <cellStyle name="Normal 7 3 2 2 2 3" xfId="521"/>
    <cellStyle name="Normal 7 3 2 2 2 3 2" xfId="965"/>
    <cellStyle name="Normal 7 3 2 2 2 3 2 2" xfId="2369"/>
    <cellStyle name="Normal 7 3 2 2 2 3 3" xfId="1409"/>
    <cellStyle name="Normal 7 3 2 2 2 3 3 2" xfId="2813"/>
    <cellStyle name="Normal 7 3 2 2 2 3 4" xfId="1925"/>
    <cellStyle name="Normal 7 3 2 2 2 4" xfId="693"/>
    <cellStyle name="Normal 7 3 2 2 2 4 2" xfId="2097"/>
    <cellStyle name="Normal 7 3 2 2 2 5" xfId="1137"/>
    <cellStyle name="Normal 7 3 2 2 2 5 2" xfId="2541"/>
    <cellStyle name="Normal 7 3 2 2 2 6" xfId="1617"/>
    <cellStyle name="Normal 7 3 2 2 3" xfId="272"/>
    <cellStyle name="Normal 7 3 2 2 3 2" xfId="444"/>
    <cellStyle name="Normal 7 3 2 2 3 2 2" xfId="788"/>
    <cellStyle name="Normal 7 3 2 2 3 2 2 2" xfId="2192"/>
    <cellStyle name="Normal 7 3 2 2 3 2 3" xfId="1232"/>
    <cellStyle name="Normal 7 3 2 2 3 2 3 2" xfId="2636"/>
    <cellStyle name="Normal 7 3 2 2 3 2 4" xfId="1848"/>
    <cellStyle name="Normal 7 3 2 2 3 3" xfId="616"/>
    <cellStyle name="Normal 7 3 2 2 3 3 2" xfId="1477"/>
    <cellStyle name="Normal 7 3 2 2 3 3 2 2" xfId="2881"/>
    <cellStyle name="Normal 7 3 2 2 3 3 3" xfId="2020"/>
    <cellStyle name="Normal 7 3 2 2 3 4" xfId="1060"/>
    <cellStyle name="Normal 7 3 2 2 3 4 2" xfId="2464"/>
    <cellStyle name="Normal 7 3 2 2 3 5" xfId="1676"/>
    <cellStyle name="Normal 7 3 2 2 4" xfId="387"/>
    <cellStyle name="Normal 7 3 2 2 4 2" xfId="731"/>
    <cellStyle name="Normal 7 3 2 2 4 2 2" xfId="2135"/>
    <cellStyle name="Normal 7 3 2 2 4 3" xfId="1175"/>
    <cellStyle name="Normal 7 3 2 2 4 3 2" xfId="2579"/>
    <cellStyle name="Normal 7 3 2 2 4 4" xfId="1791"/>
    <cellStyle name="Normal 7 3 2 2 5" xfId="559"/>
    <cellStyle name="Normal 7 3 2 2 5 2" xfId="1447"/>
    <cellStyle name="Normal 7 3 2 2 5 2 2" xfId="2851"/>
    <cellStyle name="Normal 7 3 2 2 5 3" xfId="1963"/>
    <cellStyle name="Normal 7 3 2 2 6" xfId="1003"/>
    <cellStyle name="Normal 7 3 2 2 6 2" xfId="2407"/>
    <cellStyle name="Normal 7 3 2 2 7" xfId="1540"/>
    <cellStyle name="Normal 7 3 2 3" xfId="156"/>
    <cellStyle name="Normal 7 3 2 3 2" xfId="292"/>
    <cellStyle name="Normal 7 3 2 3 2 2" xfId="808"/>
    <cellStyle name="Normal 7 3 2 3 2 2 2" xfId="2212"/>
    <cellStyle name="Normal 7 3 2 3 2 3" xfId="1252"/>
    <cellStyle name="Normal 7 3 2 3 2 3 2" xfId="2656"/>
    <cellStyle name="Normal 7 3 2 3 2 4" xfId="1696"/>
    <cellStyle name="Normal 7 3 2 3 3" xfId="464"/>
    <cellStyle name="Normal 7 3 2 3 3 2" xfId="908"/>
    <cellStyle name="Normal 7 3 2 3 3 2 2" xfId="2312"/>
    <cellStyle name="Normal 7 3 2 3 3 3" xfId="1352"/>
    <cellStyle name="Normal 7 3 2 3 3 3 2" xfId="2756"/>
    <cellStyle name="Normal 7 3 2 3 3 4" xfId="1868"/>
    <cellStyle name="Normal 7 3 2 3 4" xfId="636"/>
    <cellStyle name="Normal 7 3 2 3 4 2" xfId="2040"/>
    <cellStyle name="Normal 7 3 2 3 5" xfId="1080"/>
    <cellStyle name="Normal 7 3 2 3 5 2" xfId="2484"/>
    <cellStyle name="Normal 7 3 2 3 6" xfId="1560"/>
    <cellStyle name="Normal 7 3 2 4" xfId="183"/>
    <cellStyle name="Normal 7 3 2 4 2" xfId="319"/>
    <cellStyle name="Normal 7 3 2 4 2 2" xfId="835"/>
    <cellStyle name="Normal 7 3 2 4 2 2 2" xfId="2239"/>
    <cellStyle name="Normal 7 3 2 4 2 3" xfId="1279"/>
    <cellStyle name="Normal 7 3 2 4 2 3 2" xfId="2683"/>
    <cellStyle name="Normal 7 3 2 4 2 4" xfId="1723"/>
    <cellStyle name="Normal 7 3 2 4 3" xfId="491"/>
    <cellStyle name="Normal 7 3 2 4 3 2" xfId="935"/>
    <cellStyle name="Normal 7 3 2 4 3 2 2" xfId="2339"/>
    <cellStyle name="Normal 7 3 2 4 3 3" xfId="1379"/>
    <cellStyle name="Normal 7 3 2 4 3 3 2" xfId="2783"/>
    <cellStyle name="Normal 7 3 2 4 3 4" xfId="1895"/>
    <cellStyle name="Normal 7 3 2 4 4" xfId="663"/>
    <cellStyle name="Normal 7 3 2 4 4 2" xfId="2067"/>
    <cellStyle name="Normal 7 3 2 4 5" xfId="1107"/>
    <cellStyle name="Normal 7 3 2 4 5 2" xfId="2511"/>
    <cellStyle name="Normal 7 3 2 4 6" xfId="1587"/>
    <cellStyle name="Normal 7 3 2 5" xfId="230"/>
    <cellStyle name="Normal 7 3 2 5 2" xfId="414"/>
    <cellStyle name="Normal 7 3 2 5 2 2" xfId="758"/>
    <cellStyle name="Normal 7 3 2 5 2 2 2" xfId="2162"/>
    <cellStyle name="Normal 7 3 2 5 2 3" xfId="1202"/>
    <cellStyle name="Normal 7 3 2 5 2 3 2" xfId="2606"/>
    <cellStyle name="Normal 7 3 2 5 2 4" xfId="1818"/>
    <cellStyle name="Normal 7 3 2 5 3" xfId="586"/>
    <cellStyle name="Normal 7 3 2 5 3 2" xfId="1462"/>
    <cellStyle name="Normal 7 3 2 5 3 2 2" xfId="2866"/>
    <cellStyle name="Normal 7 3 2 5 3 3" xfId="1990"/>
    <cellStyle name="Normal 7 3 2 5 4" xfId="1030"/>
    <cellStyle name="Normal 7 3 2 5 4 2" xfId="2434"/>
    <cellStyle name="Normal 7 3 2 5 5" xfId="1634"/>
    <cellStyle name="Normal 7 3 2 6" xfId="369"/>
    <cellStyle name="Normal 7 3 2 6 2" xfId="713"/>
    <cellStyle name="Normal 7 3 2 6 2 2" xfId="2117"/>
    <cellStyle name="Normal 7 3 2 6 3" xfId="1157"/>
    <cellStyle name="Normal 7 3 2 6 3 2" xfId="2561"/>
    <cellStyle name="Normal 7 3 2 6 4" xfId="1773"/>
    <cellStyle name="Normal 7 3 2 7" xfId="541"/>
    <cellStyle name="Normal 7 3 2 7 2" xfId="1429"/>
    <cellStyle name="Normal 7 3 2 7 2 2" xfId="2833"/>
    <cellStyle name="Normal 7 3 2 7 3" xfId="1945"/>
    <cellStyle name="Normal 7 3 2 8" xfId="985"/>
    <cellStyle name="Normal 7 3 2 8 2" xfId="2389"/>
    <cellStyle name="Normal 7 3 2 9" xfId="1498"/>
    <cellStyle name="Normal 7 3 3" xfId="129"/>
    <cellStyle name="Normal 7 3 3 2" xfId="206"/>
    <cellStyle name="Normal 7 3 3 2 2" xfId="342"/>
    <cellStyle name="Normal 7 3 3 2 2 2" xfId="858"/>
    <cellStyle name="Normal 7 3 3 2 2 2 2" xfId="2262"/>
    <cellStyle name="Normal 7 3 3 2 2 3" xfId="1302"/>
    <cellStyle name="Normal 7 3 3 2 2 3 2" xfId="2706"/>
    <cellStyle name="Normal 7 3 3 2 2 4" xfId="1746"/>
    <cellStyle name="Normal 7 3 3 2 3" xfId="514"/>
    <cellStyle name="Normal 7 3 3 2 3 2" xfId="958"/>
    <cellStyle name="Normal 7 3 3 2 3 2 2" xfId="2362"/>
    <cellStyle name="Normal 7 3 3 2 3 3" xfId="1402"/>
    <cellStyle name="Normal 7 3 3 2 3 3 2" xfId="2806"/>
    <cellStyle name="Normal 7 3 3 2 3 4" xfId="1918"/>
    <cellStyle name="Normal 7 3 3 2 4" xfId="686"/>
    <cellStyle name="Normal 7 3 3 2 4 2" xfId="2090"/>
    <cellStyle name="Normal 7 3 3 2 5" xfId="1130"/>
    <cellStyle name="Normal 7 3 3 2 5 2" xfId="2534"/>
    <cellStyle name="Normal 7 3 3 2 6" xfId="1610"/>
    <cellStyle name="Normal 7 3 3 3" xfId="265"/>
    <cellStyle name="Normal 7 3 3 3 2" xfId="437"/>
    <cellStyle name="Normal 7 3 3 3 2 2" xfId="781"/>
    <cellStyle name="Normal 7 3 3 3 2 2 2" xfId="2185"/>
    <cellStyle name="Normal 7 3 3 3 2 3" xfId="1225"/>
    <cellStyle name="Normal 7 3 3 3 2 3 2" xfId="2629"/>
    <cellStyle name="Normal 7 3 3 3 2 4" xfId="1841"/>
    <cellStyle name="Normal 7 3 3 3 3" xfId="609"/>
    <cellStyle name="Normal 7 3 3 3 3 2" xfId="1470"/>
    <cellStyle name="Normal 7 3 3 3 3 2 2" xfId="2874"/>
    <cellStyle name="Normal 7 3 3 3 3 3" xfId="2013"/>
    <cellStyle name="Normal 7 3 3 3 4" xfId="1053"/>
    <cellStyle name="Normal 7 3 3 3 4 2" xfId="2457"/>
    <cellStyle name="Normal 7 3 3 3 5" xfId="1669"/>
    <cellStyle name="Normal 7 3 3 4" xfId="380"/>
    <cellStyle name="Normal 7 3 3 4 2" xfId="724"/>
    <cellStyle name="Normal 7 3 3 4 2 2" xfId="2128"/>
    <cellStyle name="Normal 7 3 3 4 3" xfId="1168"/>
    <cellStyle name="Normal 7 3 3 4 3 2" xfId="2572"/>
    <cellStyle name="Normal 7 3 3 4 4" xfId="1784"/>
    <cellStyle name="Normal 7 3 3 5" xfId="552"/>
    <cellStyle name="Normal 7 3 3 5 2" xfId="1440"/>
    <cellStyle name="Normal 7 3 3 5 2 2" xfId="2844"/>
    <cellStyle name="Normal 7 3 3 5 3" xfId="1956"/>
    <cellStyle name="Normal 7 3 3 6" xfId="996"/>
    <cellStyle name="Normal 7 3 3 6 2" xfId="2400"/>
    <cellStyle name="Normal 7 3 3 7" xfId="1533"/>
    <cellStyle name="Normal 7 3 4" xfId="149"/>
    <cellStyle name="Normal 7 3 4 2" xfId="285"/>
    <cellStyle name="Normal 7 3 4 2 2" xfId="801"/>
    <cellStyle name="Normal 7 3 4 2 2 2" xfId="2205"/>
    <cellStyle name="Normal 7 3 4 2 3" xfId="1245"/>
    <cellStyle name="Normal 7 3 4 2 3 2" xfId="2649"/>
    <cellStyle name="Normal 7 3 4 2 4" xfId="1689"/>
    <cellStyle name="Normal 7 3 4 3" xfId="457"/>
    <cellStyle name="Normal 7 3 4 3 2" xfId="901"/>
    <cellStyle name="Normal 7 3 4 3 2 2" xfId="2305"/>
    <cellStyle name="Normal 7 3 4 3 3" xfId="1345"/>
    <cellStyle name="Normal 7 3 4 3 3 2" xfId="2749"/>
    <cellStyle name="Normal 7 3 4 3 4" xfId="1861"/>
    <cellStyle name="Normal 7 3 4 4" xfId="629"/>
    <cellStyle name="Normal 7 3 4 4 2" xfId="2033"/>
    <cellStyle name="Normal 7 3 4 5" xfId="1073"/>
    <cellStyle name="Normal 7 3 4 5 2" xfId="2477"/>
    <cellStyle name="Normal 7 3 4 6" xfId="1553"/>
    <cellStyle name="Normal 7 3 5" xfId="176"/>
    <cellStyle name="Normal 7 3 5 2" xfId="312"/>
    <cellStyle name="Normal 7 3 5 2 2" xfId="828"/>
    <cellStyle name="Normal 7 3 5 2 2 2" xfId="2232"/>
    <cellStyle name="Normal 7 3 5 2 3" xfId="1272"/>
    <cellStyle name="Normal 7 3 5 2 3 2" xfId="2676"/>
    <cellStyle name="Normal 7 3 5 2 4" xfId="1716"/>
    <cellStyle name="Normal 7 3 5 3" xfId="484"/>
    <cellStyle name="Normal 7 3 5 3 2" xfId="928"/>
    <cellStyle name="Normal 7 3 5 3 2 2" xfId="2332"/>
    <cellStyle name="Normal 7 3 5 3 3" xfId="1372"/>
    <cellStyle name="Normal 7 3 5 3 3 2" xfId="2776"/>
    <cellStyle name="Normal 7 3 5 3 4" xfId="1888"/>
    <cellStyle name="Normal 7 3 5 4" xfId="656"/>
    <cellStyle name="Normal 7 3 5 4 2" xfId="2060"/>
    <cellStyle name="Normal 7 3 5 5" xfId="1100"/>
    <cellStyle name="Normal 7 3 5 5 2" xfId="2504"/>
    <cellStyle name="Normal 7 3 5 6" xfId="1580"/>
    <cellStyle name="Normal 7 3 6" xfId="223"/>
    <cellStyle name="Normal 7 3 6 2" xfId="407"/>
    <cellStyle name="Normal 7 3 6 2 2" xfId="751"/>
    <cellStyle name="Normal 7 3 6 2 2 2" xfId="2155"/>
    <cellStyle name="Normal 7 3 6 2 3" xfId="1195"/>
    <cellStyle name="Normal 7 3 6 2 3 2" xfId="2599"/>
    <cellStyle name="Normal 7 3 6 2 4" xfId="1811"/>
    <cellStyle name="Normal 7 3 6 3" xfId="579"/>
    <cellStyle name="Normal 7 3 6 3 2" xfId="1455"/>
    <cellStyle name="Normal 7 3 6 3 2 2" xfId="2859"/>
    <cellStyle name="Normal 7 3 6 3 3" xfId="1983"/>
    <cellStyle name="Normal 7 3 6 4" xfId="1023"/>
    <cellStyle name="Normal 7 3 6 4 2" xfId="2427"/>
    <cellStyle name="Normal 7 3 6 5" xfId="1627"/>
    <cellStyle name="Normal 7 3 7" xfId="362"/>
    <cellStyle name="Normal 7 3 7 2" xfId="706"/>
    <cellStyle name="Normal 7 3 7 2 2" xfId="2110"/>
    <cellStyle name="Normal 7 3 7 3" xfId="1150"/>
    <cellStyle name="Normal 7 3 7 3 2" xfId="2554"/>
    <cellStyle name="Normal 7 3 7 4" xfId="1766"/>
    <cellStyle name="Normal 7 3 8" xfId="534"/>
    <cellStyle name="Normal 7 3 8 2" xfId="1422"/>
    <cellStyle name="Normal 7 3 8 2 2" xfId="2826"/>
    <cellStyle name="Normal 7 3 8 3" xfId="1938"/>
    <cellStyle name="Normal 7 3 9" xfId="978"/>
    <cellStyle name="Normal 7 3 9 2" xfId="2382"/>
    <cellStyle name="Normal 7 4" xfId="66"/>
    <cellStyle name="Normal 7 4 2" xfId="133"/>
    <cellStyle name="Normal 7 4 2 2" xfId="210"/>
    <cellStyle name="Normal 7 4 2 2 2" xfId="346"/>
    <cellStyle name="Normal 7 4 2 2 2 2" xfId="862"/>
    <cellStyle name="Normal 7 4 2 2 2 2 2" xfId="2266"/>
    <cellStyle name="Normal 7 4 2 2 2 3" xfId="1306"/>
    <cellStyle name="Normal 7 4 2 2 2 3 2" xfId="2710"/>
    <cellStyle name="Normal 7 4 2 2 2 4" xfId="1750"/>
    <cellStyle name="Normal 7 4 2 2 3" xfId="518"/>
    <cellStyle name="Normal 7 4 2 2 3 2" xfId="962"/>
    <cellStyle name="Normal 7 4 2 2 3 2 2" xfId="2366"/>
    <cellStyle name="Normal 7 4 2 2 3 3" xfId="1406"/>
    <cellStyle name="Normal 7 4 2 2 3 3 2" xfId="2810"/>
    <cellStyle name="Normal 7 4 2 2 3 4" xfId="1922"/>
    <cellStyle name="Normal 7 4 2 2 4" xfId="690"/>
    <cellStyle name="Normal 7 4 2 2 4 2" xfId="2094"/>
    <cellStyle name="Normal 7 4 2 2 5" xfId="1134"/>
    <cellStyle name="Normal 7 4 2 2 5 2" xfId="2538"/>
    <cellStyle name="Normal 7 4 2 2 6" xfId="1614"/>
    <cellStyle name="Normal 7 4 2 3" xfId="269"/>
    <cellStyle name="Normal 7 4 2 3 2" xfId="441"/>
    <cellStyle name="Normal 7 4 2 3 2 2" xfId="785"/>
    <cellStyle name="Normal 7 4 2 3 2 2 2" xfId="2189"/>
    <cellStyle name="Normal 7 4 2 3 2 3" xfId="1229"/>
    <cellStyle name="Normal 7 4 2 3 2 3 2" xfId="2633"/>
    <cellStyle name="Normal 7 4 2 3 2 4" xfId="1845"/>
    <cellStyle name="Normal 7 4 2 3 3" xfId="613"/>
    <cellStyle name="Normal 7 4 2 3 3 2" xfId="1474"/>
    <cellStyle name="Normal 7 4 2 3 3 2 2" xfId="2878"/>
    <cellStyle name="Normal 7 4 2 3 3 3" xfId="2017"/>
    <cellStyle name="Normal 7 4 2 3 4" xfId="1057"/>
    <cellStyle name="Normal 7 4 2 3 4 2" xfId="2461"/>
    <cellStyle name="Normal 7 4 2 3 5" xfId="1673"/>
    <cellStyle name="Normal 7 4 2 4" xfId="384"/>
    <cellStyle name="Normal 7 4 2 4 2" xfId="728"/>
    <cellStyle name="Normal 7 4 2 4 2 2" xfId="2132"/>
    <cellStyle name="Normal 7 4 2 4 3" xfId="1172"/>
    <cellStyle name="Normal 7 4 2 4 3 2" xfId="2576"/>
    <cellStyle name="Normal 7 4 2 4 4" xfId="1788"/>
    <cellStyle name="Normal 7 4 2 5" xfId="556"/>
    <cellStyle name="Normal 7 4 2 5 2" xfId="1444"/>
    <cellStyle name="Normal 7 4 2 5 2 2" xfId="2848"/>
    <cellStyle name="Normal 7 4 2 5 3" xfId="1960"/>
    <cellStyle name="Normal 7 4 2 6" xfId="1000"/>
    <cellStyle name="Normal 7 4 2 6 2" xfId="2404"/>
    <cellStyle name="Normal 7 4 2 7" xfId="1537"/>
    <cellStyle name="Normal 7 4 3" xfId="153"/>
    <cellStyle name="Normal 7 4 3 2" xfId="289"/>
    <cellStyle name="Normal 7 4 3 2 2" xfId="805"/>
    <cellStyle name="Normal 7 4 3 2 2 2" xfId="2209"/>
    <cellStyle name="Normal 7 4 3 2 3" xfId="1249"/>
    <cellStyle name="Normal 7 4 3 2 3 2" xfId="2653"/>
    <cellStyle name="Normal 7 4 3 2 4" xfId="1693"/>
    <cellStyle name="Normal 7 4 3 3" xfId="461"/>
    <cellStyle name="Normal 7 4 3 3 2" xfId="905"/>
    <cellStyle name="Normal 7 4 3 3 2 2" xfId="2309"/>
    <cellStyle name="Normal 7 4 3 3 3" xfId="1349"/>
    <cellStyle name="Normal 7 4 3 3 3 2" xfId="2753"/>
    <cellStyle name="Normal 7 4 3 3 4" xfId="1865"/>
    <cellStyle name="Normal 7 4 3 4" xfId="633"/>
    <cellStyle name="Normal 7 4 3 4 2" xfId="2037"/>
    <cellStyle name="Normal 7 4 3 5" xfId="1077"/>
    <cellStyle name="Normal 7 4 3 5 2" xfId="2481"/>
    <cellStyle name="Normal 7 4 3 6" xfId="1557"/>
    <cellStyle name="Normal 7 4 4" xfId="180"/>
    <cellStyle name="Normal 7 4 4 2" xfId="316"/>
    <cellStyle name="Normal 7 4 4 2 2" xfId="832"/>
    <cellStyle name="Normal 7 4 4 2 2 2" xfId="2236"/>
    <cellStyle name="Normal 7 4 4 2 3" xfId="1276"/>
    <cellStyle name="Normal 7 4 4 2 3 2" xfId="2680"/>
    <cellStyle name="Normal 7 4 4 2 4" xfId="1720"/>
    <cellStyle name="Normal 7 4 4 3" xfId="488"/>
    <cellStyle name="Normal 7 4 4 3 2" xfId="932"/>
    <cellStyle name="Normal 7 4 4 3 2 2" xfId="2336"/>
    <cellStyle name="Normal 7 4 4 3 3" xfId="1376"/>
    <cellStyle name="Normal 7 4 4 3 3 2" xfId="2780"/>
    <cellStyle name="Normal 7 4 4 3 4" xfId="1892"/>
    <cellStyle name="Normal 7 4 4 4" xfId="660"/>
    <cellStyle name="Normal 7 4 4 4 2" xfId="2064"/>
    <cellStyle name="Normal 7 4 4 5" xfId="1104"/>
    <cellStyle name="Normal 7 4 4 5 2" xfId="2508"/>
    <cellStyle name="Normal 7 4 4 6" xfId="1584"/>
    <cellStyle name="Normal 7 4 5" xfId="227"/>
    <cellStyle name="Normal 7 4 5 2" xfId="411"/>
    <cellStyle name="Normal 7 4 5 2 2" xfId="755"/>
    <cellStyle name="Normal 7 4 5 2 2 2" xfId="2159"/>
    <cellStyle name="Normal 7 4 5 2 3" xfId="1199"/>
    <cellStyle name="Normal 7 4 5 2 3 2" xfId="2603"/>
    <cellStyle name="Normal 7 4 5 2 4" xfId="1815"/>
    <cellStyle name="Normal 7 4 5 3" xfId="583"/>
    <cellStyle name="Normal 7 4 5 3 2" xfId="1459"/>
    <cellStyle name="Normal 7 4 5 3 2 2" xfId="2863"/>
    <cellStyle name="Normal 7 4 5 3 3" xfId="1987"/>
    <cellStyle name="Normal 7 4 5 4" xfId="1027"/>
    <cellStyle name="Normal 7 4 5 4 2" xfId="2431"/>
    <cellStyle name="Normal 7 4 5 5" xfId="1631"/>
    <cellStyle name="Normal 7 4 6" xfId="366"/>
    <cellStyle name="Normal 7 4 6 2" xfId="710"/>
    <cellStyle name="Normal 7 4 6 2 2" xfId="2114"/>
    <cellStyle name="Normal 7 4 6 3" xfId="1154"/>
    <cellStyle name="Normal 7 4 6 3 2" xfId="2558"/>
    <cellStyle name="Normal 7 4 6 4" xfId="1770"/>
    <cellStyle name="Normal 7 4 7" xfId="538"/>
    <cellStyle name="Normal 7 4 7 2" xfId="1426"/>
    <cellStyle name="Normal 7 4 7 2 2" xfId="2830"/>
    <cellStyle name="Normal 7 4 7 3" xfId="1942"/>
    <cellStyle name="Normal 7 4 8" xfId="982"/>
    <cellStyle name="Normal 7 4 8 2" xfId="2386"/>
    <cellStyle name="Normal 7 4 9" xfId="1495"/>
    <cellStyle name="Normal 7 5" xfId="126"/>
    <cellStyle name="Normal 7 5 2" xfId="146"/>
    <cellStyle name="Normal 7 5 2 2" xfId="282"/>
    <cellStyle name="Normal 7 5 2 2 2" xfId="454"/>
    <cellStyle name="Normal 7 5 2 2 2 2" xfId="798"/>
    <cellStyle name="Normal 7 5 2 2 2 2 2" xfId="2202"/>
    <cellStyle name="Normal 7 5 2 2 2 3" xfId="1242"/>
    <cellStyle name="Normal 7 5 2 2 2 3 2" xfId="2646"/>
    <cellStyle name="Normal 7 5 2 2 2 4" xfId="1858"/>
    <cellStyle name="Normal 7 5 2 2 3" xfId="626"/>
    <cellStyle name="Normal 7 5 2 2 3 2" xfId="1485"/>
    <cellStyle name="Normal 7 5 2 2 3 2 2" xfId="2889"/>
    <cellStyle name="Normal 7 5 2 2 3 3" xfId="2030"/>
    <cellStyle name="Normal 7 5 2 2 4" xfId="1070"/>
    <cellStyle name="Normal 7 5 2 2 4 2" xfId="2474"/>
    <cellStyle name="Normal 7 5 2 2 5" xfId="1686"/>
    <cellStyle name="Normal 7 5 2 3" xfId="377"/>
    <cellStyle name="Normal 7 5 2 3 2" xfId="721"/>
    <cellStyle name="Normal 7 5 2 3 2 2" xfId="2125"/>
    <cellStyle name="Normal 7 5 2 3 3" xfId="1165"/>
    <cellStyle name="Normal 7 5 2 3 3 2" xfId="2569"/>
    <cellStyle name="Normal 7 5 2 3 4" xfId="1781"/>
    <cellStyle name="Normal 7 5 2 4" xfId="549"/>
    <cellStyle name="Normal 7 5 2 4 2" xfId="1437"/>
    <cellStyle name="Normal 7 5 2 4 2 2" xfId="2841"/>
    <cellStyle name="Normal 7 5 2 4 3" xfId="1953"/>
    <cellStyle name="Normal 7 5 2 5" xfId="993"/>
    <cellStyle name="Normal 7 5 2 5 2" xfId="2397"/>
    <cellStyle name="Normal 7 5 2 6" xfId="1550"/>
    <cellStyle name="Normal 7 5 3" xfId="203"/>
    <cellStyle name="Normal 7 5 3 2" xfId="339"/>
    <cellStyle name="Normal 7 5 3 2 2" xfId="855"/>
    <cellStyle name="Normal 7 5 3 2 2 2" xfId="2259"/>
    <cellStyle name="Normal 7 5 3 2 3" xfId="1299"/>
    <cellStyle name="Normal 7 5 3 2 3 2" xfId="2703"/>
    <cellStyle name="Normal 7 5 3 2 4" xfId="1743"/>
    <cellStyle name="Normal 7 5 3 3" xfId="511"/>
    <cellStyle name="Normal 7 5 3 3 2" xfId="955"/>
    <cellStyle name="Normal 7 5 3 3 2 2" xfId="2359"/>
    <cellStyle name="Normal 7 5 3 3 3" xfId="1399"/>
    <cellStyle name="Normal 7 5 3 3 3 2" xfId="2803"/>
    <cellStyle name="Normal 7 5 3 3 4" xfId="1915"/>
    <cellStyle name="Normal 7 5 3 4" xfId="683"/>
    <cellStyle name="Normal 7 5 3 4 2" xfId="2087"/>
    <cellStyle name="Normal 7 5 3 5" xfId="1127"/>
    <cellStyle name="Normal 7 5 3 5 2" xfId="2531"/>
    <cellStyle name="Normal 7 5 3 6" xfId="1607"/>
    <cellStyle name="Normal 7 5 4" xfId="262"/>
    <cellStyle name="Normal 7 5 4 2" xfId="434"/>
    <cellStyle name="Normal 7 5 4 2 2" xfId="778"/>
    <cellStyle name="Normal 7 5 4 2 2 2" xfId="2182"/>
    <cellStyle name="Normal 7 5 4 2 3" xfId="1222"/>
    <cellStyle name="Normal 7 5 4 2 3 2" xfId="2626"/>
    <cellStyle name="Normal 7 5 4 2 4" xfId="1838"/>
    <cellStyle name="Normal 7 5 4 3" xfId="606"/>
    <cellStyle name="Normal 7 5 4 3 2" xfId="1467"/>
    <cellStyle name="Normal 7 5 4 3 2 2" xfId="2871"/>
    <cellStyle name="Normal 7 5 4 3 3" xfId="2010"/>
    <cellStyle name="Normal 7 5 4 4" xfId="1050"/>
    <cellStyle name="Normal 7 5 4 4 2" xfId="2454"/>
    <cellStyle name="Normal 7 5 4 5" xfId="1666"/>
    <cellStyle name="Normal 7 5 5" xfId="359"/>
    <cellStyle name="Normal 7 5 5 2" xfId="703"/>
    <cellStyle name="Normal 7 5 5 2 2" xfId="2107"/>
    <cellStyle name="Normal 7 5 5 3" xfId="1147"/>
    <cellStyle name="Normal 7 5 5 3 2" xfId="2551"/>
    <cellStyle name="Normal 7 5 5 4" xfId="1763"/>
    <cellStyle name="Normal 7 5 6" xfId="531"/>
    <cellStyle name="Normal 7 5 6 2" xfId="1419"/>
    <cellStyle name="Normal 7 5 6 2 2" xfId="2823"/>
    <cellStyle name="Normal 7 5 6 3" xfId="1935"/>
    <cellStyle name="Normal 7 5 7" xfId="975"/>
    <cellStyle name="Normal 7 5 7 2" xfId="2379"/>
    <cellStyle name="Normal 7 5 8" xfId="1530"/>
    <cellStyle name="Normal 7 6" xfId="143"/>
    <cellStyle name="Normal 7 6 2" xfId="279"/>
    <cellStyle name="Normal 7 6 2 2" xfId="451"/>
    <cellStyle name="Normal 7 6 2 2 2" xfId="795"/>
    <cellStyle name="Normal 7 6 2 2 2 2" xfId="2199"/>
    <cellStyle name="Normal 7 6 2 2 3" xfId="1239"/>
    <cellStyle name="Normal 7 6 2 2 3 2" xfId="2643"/>
    <cellStyle name="Normal 7 6 2 2 4" xfId="1855"/>
    <cellStyle name="Normal 7 6 2 3" xfId="623"/>
    <cellStyle name="Normal 7 6 2 3 2" xfId="1482"/>
    <cellStyle name="Normal 7 6 2 3 2 2" xfId="2886"/>
    <cellStyle name="Normal 7 6 2 3 3" xfId="2027"/>
    <cellStyle name="Normal 7 6 2 4" xfId="1067"/>
    <cellStyle name="Normal 7 6 2 4 2" xfId="2471"/>
    <cellStyle name="Normal 7 6 2 5" xfId="1683"/>
    <cellStyle name="Normal 7 6 3" xfId="374"/>
    <cellStyle name="Normal 7 6 3 2" xfId="718"/>
    <cellStyle name="Normal 7 6 3 2 2" xfId="2122"/>
    <cellStyle name="Normal 7 6 3 3" xfId="1162"/>
    <cellStyle name="Normal 7 6 3 3 2" xfId="2566"/>
    <cellStyle name="Normal 7 6 3 4" xfId="1778"/>
    <cellStyle name="Normal 7 6 4" xfId="546"/>
    <cellStyle name="Normal 7 6 4 2" xfId="1434"/>
    <cellStyle name="Normal 7 6 4 2 2" xfId="2838"/>
    <cellStyle name="Normal 7 6 4 3" xfId="1950"/>
    <cellStyle name="Normal 7 6 5" xfId="990"/>
    <cellStyle name="Normal 7 6 5 2" xfId="2394"/>
    <cellStyle name="Normal 7 6 6" xfId="1547"/>
    <cellStyle name="Normal 7 7" xfId="173"/>
    <cellStyle name="Normal 7 7 2" xfId="309"/>
    <cellStyle name="Normal 7 7 2 2" xfId="825"/>
    <cellStyle name="Normal 7 7 2 2 2" xfId="2229"/>
    <cellStyle name="Normal 7 7 2 3" xfId="1269"/>
    <cellStyle name="Normal 7 7 2 3 2" xfId="2673"/>
    <cellStyle name="Normal 7 7 2 4" xfId="1713"/>
    <cellStyle name="Normal 7 7 3" xfId="481"/>
    <cellStyle name="Normal 7 7 3 2" xfId="925"/>
    <cellStyle name="Normal 7 7 3 2 2" xfId="2329"/>
    <cellStyle name="Normal 7 7 3 3" xfId="1369"/>
    <cellStyle name="Normal 7 7 3 3 2" xfId="2773"/>
    <cellStyle name="Normal 7 7 3 4" xfId="1885"/>
    <cellStyle name="Normal 7 7 4" xfId="653"/>
    <cellStyle name="Normal 7 7 4 2" xfId="2057"/>
    <cellStyle name="Normal 7 7 5" xfId="1097"/>
    <cellStyle name="Normal 7 7 5 2" xfId="2501"/>
    <cellStyle name="Normal 7 7 6" xfId="1577"/>
    <cellStyle name="Normal 7 8" xfId="220"/>
    <cellStyle name="Normal 7 8 2" xfId="404"/>
    <cellStyle name="Normal 7 8 2 2" xfId="748"/>
    <cellStyle name="Normal 7 8 2 2 2" xfId="2152"/>
    <cellStyle name="Normal 7 8 2 3" xfId="1192"/>
    <cellStyle name="Normal 7 8 2 3 2" xfId="2596"/>
    <cellStyle name="Normal 7 8 2 4" xfId="1808"/>
    <cellStyle name="Normal 7 8 3" xfId="576"/>
    <cellStyle name="Normal 7 8 3 2" xfId="1452"/>
    <cellStyle name="Normal 7 8 3 2 2" xfId="2856"/>
    <cellStyle name="Normal 7 8 3 3" xfId="1980"/>
    <cellStyle name="Normal 7 8 4" xfId="1020"/>
    <cellStyle name="Normal 7 8 4 2" xfId="2424"/>
    <cellStyle name="Normal 7 8 5" xfId="1624"/>
    <cellStyle name="Normal 7 9" xfId="356"/>
    <cellStyle name="Normal 7 9 2" xfId="700"/>
    <cellStyle name="Normal 7 9 2 2" xfId="2104"/>
    <cellStyle name="Normal 7 9 3" xfId="1144"/>
    <cellStyle name="Normal 7 9 3 2" xfId="2548"/>
    <cellStyle name="Normal 7 9 4" xfId="1760"/>
    <cellStyle name="Normal 8" xfId="59"/>
    <cellStyle name="Normal 8 10" xfId="974"/>
    <cellStyle name="Normal 8 10 2" xfId="2378"/>
    <cellStyle name="Normal 8 11" xfId="1489"/>
    <cellStyle name="Normal 8 2" xfId="62"/>
    <cellStyle name="Normal 8 2 10" xfId="1492"/>
    <cellStyle name="Normal 8 2 2" xfId="70"/>
    <cellStyle name="Normal 8 2 2 2" xfId="137"/>
    <cellStyle name="Normal 8 2 2 2 2" xfId="214"/>
    <cellStyle name="Normal 8 2 2 2 2 2" xfId="350"/>
    <cellStyle name="Normal 8 2 2 2 2 2 2" xfId="866"/>
    <cellStyle name="Normal 8 2 2 2 2 2 2 2" xfId="2270"/>
    <cellStyle name="Normal 8 2 2 2 2 2 3" xfId="1310"/>
    <cellStyle name="Normal 8 2 2 2 2 2 3 2" xfId="2714"/>
    <cellStyle name="Normal 8 2 2 2 2 2 4" xfId="1754"/>
    <cellStyle name="Normal 8 2 2 2 2 3" xfId="522"/>
    <cellStyle name="Normal 8 2 2 2 2 3 2" xfId="966"/>
    <cellStyle name="Normal 8 2 2 2 2 3 2 2" xfId="2370"/>
    <cellStyle name="Normal 8 2 2 2 2 3 3" xfId="1410"/>
    <cellStyle name="Normal 8 2 2 2 2 3 3 2" xfId="2814"/>
    <cellStyle name="Normal 8 2 2 2 2 3 4" xfId="1926"/>
    <cellStyle name="Normal 8 2 2 2 2 4" xfId="694"/>
    <cellStyle name="Normal 8 2 2 2 2 4 2" xfId="2098"/>
    <cellStyle name="Normal 8 2 2 2 2 5" xfId="1138"/>
    <cellStyle name="Normal 8 2 2 2 2 5 2" xfId="2542"/>
    <cellStyle name="Normal 8 2 2 2 2 6" xfId="1618"/>
    <cellStyle name="Normal 8 2 2 2 3" xfId="273"/>
    <cellStyle name="Normal 8 2 2 2 3 2" xfId="445"/>
    <cellStyle name="Normal 8 2 2 2 3 2 2" xfId="789"/>
    <cellStyle name="Normal 8 2 2 2 3 2 2 2" xfId="2193"/>
    <cellStyle name="Normal 8 2 2 2 3 2 3" xfId="1233"/>
    <cellStyle name="Normal 8 2 2 2 3 2 3 2" xfId="2637"/>
    <cellStyle name="Normal 8 2 2 2 3 2 4" xfId="1849"/>
    <cellStyle name="Normal 8 2 2 2 3 3" xfId="617"/>
    <cellStyle name="Normal 8 2 2 2 3 3 2" xfId="1478"/>
    <cellStyle name="Normal 8 2 2 2 3 3 2 2" xfId="2882"/>
    <cellStyle name="Normal 8 2 2 2 3 3 3" xfId="2021"/>
    <cellStyle name="Normal 8 2 2 2 3 4" xfId="1061"/>
    <cellStyle name="Normal 8 2 2 2 3 4 2" xfId="2465"/>
    <cellStyle name="Normal 8 2 2 2 3 5" xfId="1677"/>
    <cellStyle name="Normal 8 2 2 2 4" xfId="388"/>
    <cellStyle name="Normal 8 2 2 2 4 2" xfId="732"/>
    <cellStyle name="Normal 8 2 2 2 4 2 2" xfId="2136"/>
    <cellStyle name="Normal 8 2 2 2 4 3" xfId="1176"/>
    <cellStyle name="Normal 8 2 2 2 4 3 2" xfId="2580"/>
    <cellStyle name="Normal 8 2 2 2 4 4" xfId="1792"/>
    <cellStyle name="Normal 8 2 2 2 5" xfId="560"/>
    <cellStyle name="Normal 8 2 2 2 5 2" xfId="1448"/>
    <cellStyle name="Normal 8 2 2 2 5 2 2" xfId="2852"/>
    <cellStyle name="Normal 8 2 2 2 5 3" xfId="1964"/>
    <cellStyle name="Normal 8 2 2 2 6" xfId="1004"/>
    <cellStyle name="Normal 8 2 2 2 6 2" xfId="2408"/>
    <cellStyle name="Normal 8 2 2 2 7" xfId="1541"/>
    <cellStyle name="Normal 8 2 2 3" xfId="157"/>
    <cellStyle name="Normal 8 2 2 3 2" xfId="293"/>
    <cellStyle name="Normal 8 2 2 3 2 2" xfId="809"/>
    <cellStyle name="Normal 8 2 2 3 2 2 2" xfId="2213"/>
    <cellStyle name="Normal 8 2 2 3 2 3" xfId="1253"/>
    <cellStyle name="Normal 8 2 2 3 2 3 2" xfId="2657"/>
    <cellStyle name="Normal 8 2 2 3 2 4" xfId="1697"/>
    <cellStyle name="Normal 8 2 2 3 3" xfId="465"/>
    <cellStyle name="Normal 8 2 2 3 3 2" xfId="909"/>
    <cellStyle name="Normal 8 2 2 3 3 2 2" xfId="2313"/>
    <cellStyle name="Normal 8 2 2 3 3 3" xfId="1353"/>
    <cellStyle name="Normal 8 2 2 3 3 3 2" xfId="2757"/>
    <cellStyle name="Normal 8 2 2 3 3 4" xfId="1869"/>
    <cellStyle name="Normal 8 2 2 3 4" xfId="637"/>
    <cellStyle name="Normal 8 2 2 3 4 2" xfId="2041"/>
    <cellStyle name="Normal 8 2 2 3 5" xfId="1081"/>
    <cellStyle name="Normal 8 2 2 3 5 2" xfId="2485"/>
    <cellStyle name="Normal 8 2 2 3 6" xfId="1561"/>
    <cellStyle name="Normal 8 2 2 4" xfId="184"/>
    <cellStyle name="Normal 8 2 2 4 2" xfId="320"/>
    <cellStyle name="Normal 8 2 2 4 2 2" xfId="836"/>
    <cellStyle name="Normal 8 2 2 4 2 2 2" xfId="2240"/>
    <cellStyle name="Normal 8 2 2 4 2 3" xfId="1280"/>
    <cellStyle name="Normal 8 2 2 4 2 3 2" xfId="2684"/>
    <cellStyle name="Normal 8 2 2 4 2 4" xfId="1724"/>
    <cellStyle name="Normal 8 2 2 4 3" xfId="492"/>
    <cellStyle name="Normal 8 2 2 4 3 2" xfId="936"/>
    <cellStyle name="Normal 8 2 2 4 3 2 2" xfId="2340"/>
    <cellStyle name="Normal 8 2 2 4 3 3" xfId="1380"/>
    <cellStyle name="Normal 8 2 2 4 3 3 2" xfId="2784"/>
    <cellStyle name="Normal 8 2 2 4 3 4" xfId="1896"/>
    <cellStyle name="Normal 8 2 2 4 4" xfId="664"/>
    <cellStyle name="Normal 8 2 2 4 4 2" xfId="2068"/>
    <cellStyle name="Normal 8 2 2 4 5" xfId="1108"/>
    <cellStyle name="Normal 8 2 2 4 5 2" xfId="2512"/>
    <cellStyle name="Normal 8 2 2 4 6" xfId="1588"/>
    <cellStyle name="Normal 8 2 2 5" xfId="231"/>
    <cellStyle name="Normal 8 2 2 5 2" xfId="415"/>
    <cellStyle name="Normal 8 2 2 5 2 2" xfId="759"/>
    <cellStyle name="Normal 8 2 2 5 2 2 2" xfId="2163"/>
    <cellStyle name="Normal 8 2 2 5 2 3" xfId="1203"/>
    <cellStyle name="Normal 8 2 2 5 2 3 2" xfId="2607"/>
    <cellStyle name="Normal 8 2 2 5 2 4" xfId="1819"/>
    <cellStyle name="Normal 8 2 2 5 3" xfId="587"/>
    <cellStyle name="Normal 8 2 2 5 3 2" xfId="1463"/>
    <cellStyle name="Normal 8 2 2 5 3 2 2" xfId="2867"/>
    <cellStyle name="Normal 8 2 2 5 3 3" xfId="1991"/>
    <cellStyle name="Normal 8 2 2 5 4" xfId="1031"/>
    <cellStyle name="Normal 8 2 2 5 4 2" xfId="2435"/>
    <cellStyle name="Normal 8 2 2 5 5" xfId="1635"/>
    <cellStyle name="Normal 8 2 2 6" xfId="370"/>
    <cellStyle name="Normal 8 2 2 6 2" xfId="714"/>
    <cellStyle name="Normal 8 2 2 6 2 2" xfId="2118"/>
    <cellStyle name="Normal 8 2 2 6 3" xfId="1158"/>
    <cellStyle name="Normal 8 2 2 6 3 2" xfId="2562"/>
    <cellStyle name="Normal 8 2 2 6 4" xfId="1774"/>
    <cellStyle name="Normal 8 2 2 7" xfId="542"/>
    <cellStyle name="Normal 8 2 2 7 2" xfId="1430"/>
    <cellStyle name="Normal 8 2 2 7 2 2" xfId="2834"/>
    <cellStyle name="Normal 8 2 2 7 3" xfId="1946"/>
    <cellStyle name="Normal 8 2 2 8" xfId="986"/>
    <cellStyle name="Normal 8 2 2 8 2" xfId="2390"/>
    <cellStyle name="Normal 8 2 2 9" xfId="1499"/>
    <cellStyle name="Normal 8 2 3" xfId="130"/>
    <cellStyle name="Normal 8 2 3 2" xfId="207"/>
    <cellStyle name="Normal 8 2 3 2 2" xfId="343"/>
    <cellStyle name="Normal 8 2 3 2 2 2" xfId="859"/>
    <cellStyle name="Normal 8 2 3 2 2 2 2" xfId="2263"/>
    <cellStyle name="Normal 8 2 3 2 2 3" xfId="1303"/>
    <cellStyle name="Normal 8 2 3 2 2 3 2" xfId="2707"/>
    <cellStyle name="Normal 8 2 3 2 2 4" xfId="1747"/>
    <cellStyle name="Normal 8 2 3 2 3" xfId="515"/>
    <cellStyle name="Normal 8 2 3 2 3 2" xfId="959"/>
    <cellStyle name="Normal 8 2 3 2 3 2 2" xfId="2363"/>
    <cellStyle name="Normal 8 2 3 2 3 3" xfId="1403"/>
    <cellStyle name="Normal 8 2 3 2 3 3 2" xfId="2807"/>
    <cellStyle name="Normal 8 2 3 2 3 4" xfId="1919"/>
    <cellStyle name="Normal 8 2 3 2 4" xfId="687"/>
    <cellStyle name="Normal 8 2 3 2 4 2" xfId="2091"/>
    <cellStyle name="Normal 8 2 3 2 5" xfId="1131"/>
    <cellStyle name="Normal 8 2 3 2 5 2" xfId="2535"/>
    <cellStyle name="Normal 8 2 3 2 6" xfId="1611"/>
    <cellStyle name="Normal 8 2 3 3" xfId="266"/>
    <cellStyle name="Normal 8 2 3 3 2" xfId="438"/>
    <cellStyle name="Normal 8 2 3 3 2 2" xfId="782"/>
    <cellStyle name="Normal 8 2 3 3 2 2 2" xfId="2186"/>
    <cellStyle name="Normal 8 2 3 3 2 3" xfId="1226"/>
    <cellStyle name="Normal 8 2 3 3 2 3 2" xfId="2630"/>
    <cellStyle name="Normal 8 2 3 3 2 4" xfId="1842"/>
    <cellStyle name="Normal 8 2 3 3 3" xfId="610"/>
    <cellStyle name="Normal 8 2 3 3 3 2" xfId="1471"/>
    <cellStyle name="Normal 8 2 3 3 3 2 2" xfId="2875"/>
    <cellStyle name="Normal 8 2 3 3 3 3" xfId="2014"/>
    <cellStyle name="Normal 8 2 3 3 4" xfId="1054"/>
    <cellStyle name="Normal 8 2 3 3 4 2" xfId="2458"/>
    <cellStyle name="Normal 8 2 3 3 5" xfId="1670"/>
    <cellStyle name="Normal 8 2 3 4" xfId="381"/>
    <cellStyle name="Normal 8 2 3 4 2" xfId="725"/>
    <cellStyle name="Normal 8 2 3 4 2 2" xfId="2129"/>
    <cellStyle name="Normal 8 2 3 4 3" xfId="1169"/>
    <cellStyle name="Normal 8 2 3 4 3 2" xfId="2573"/>
    <cellStyle name="Normal 8 2 3 4 4" xfId="1785"/>
    <cellStyle name="Normal 8 2 3 5" xfId="553"/>
    <cellStyle name="Normal 8 2 3 5 2" xfId="1441"/>
    <cellStyle name="Normal 8 2 3 5 2 2" xfId="2845"/>
    <cellStyle name="Normal 8 2 3 5 3" xfId="1957"/>
    <cellStyle name="Normal 8 2 3 6" xfId="997"/>
    <cellStyle name="Normal 8 2 3 6 2" xfId="2401"/>
    <cellStyle name="Normal 8 2 3 7" xfId="1534"/>
    <cellStyle name="Normal 8 2 4" xfId="150"/>
    <cellStyle name="Normal 8 2 4 2" xfId="286"/>
    <cellStyle name="Normal 8 2 4 2 2" xfId="802"/>
    <cellStyle name="Normal 8 2 4 2 2 2" xfId="2206"/>
    <cellStyle name="Normal 8 2 4 2 3" xfId="1246"/>
    <cellStyle name="Normal 8 2 4 2 3 2" xfId="2650"/>
    <cellStyle name="Normal 8 2 4 2 4" xfId="1690"/>
    <cellStyle name="Normal 8 2 4 3" xfId="458"/>
    <cellStyle name="Normal 8 2 4 3 2" xfId="902"/>
    <cellStyle name="Normal 8 2 4 3 2 2" xfId="2306"/>
    <cellStyle name="Normal 8 2 4 3 3" xfId="1346"/>
    <cellStyle name="Normal 8 2 4 3 3 2" xfId="2750"/>
    <cellStyle name="Normal 8 2 4 3 4" xfId="1862"/>
    <cellStyle name="Normal 8 2 4 4" xfId="630"/>
    <cellStyle name="Normal 8 2 4 4 2" xfId="2034"/>
    <cellStyle name="Normal 8 2 4 5" xfId="1074"/>
    <cellStyle name="Normal 8 2 4 5 2" xfId="2478"/>
    <cellStyle name="Normal 8 2 4 6" xfId="1554"/>
    <cellStyle name="Normal 8 2 5" xfId="177"/>
    <cellStyle name="Normal 8 2 5 2" xfId="313"/>
    <cellStyle name="Normal 8 2 5 2 2" xfId="829"/>
    <cellStyle name="Normal 8 2 5 2 2 2" xfId="2233"/>
    <cellStyle name="Normal 8 2 5 2 3" xfId="1273"/>
    <cellStyle name="Normal 8 2 5 2 3 2" xfId="2677"/>
    <cellStyle name="Normal 8 2 5 2 4" xfId="1717"/>
    <cellStyle name="Normal 8 2 5 3" xfId="485"/>
    <cellStyle name="Normal 8 2 5 3 2" xfId="929"/>
    <cellStyle name="Normal 8 2 5 3 2 2" xfId="2333"/>
    <cellStyle name="Normal 8 2 5 3 3" xfId="1373"/>
    <cellStyle name="Normal 8 2 5 3 3 2" xfId="2777"/>
    <cellStyle name="Normal 8 2 5 3 4" xfId="1889"/>
    <cellStyle name="Normal 8 2 5 4" xfId="657"/>
    <cellStyle name="Normal 8 2 5 4 2" xfId="2061"/>
    <cellStyle name="Normal 8 2 5 5" xfId="1101"/>
    <cellStyle name="Normal 8 2 5 5 2" xfId="2505"/>
    <cellStyle name="Normal 8 2 5 6" xfId="1581"/>
    <cellStyle name="Normal 8 2 6" xfId="224"/>
    <cellStyle name="Normal 8 2 6 2" xfId="408"/>
    <cellStyle name="Normal 8 2 6 2 2" xfId="752"/>
    <cellStyle name="Normal 8 2 6 2 2 2" xfId="2156"/>
    <cellStyle name="Normal 8 2 6 2 3" xfId="1196"/>
    <cellStyle name="Normal 8 2 6 2 3 2" xfId="2600"/>
    <cellStyle name="Normal 8 2 6 2 4" xfId="1812"/>
    <cellStyle name="Normal 8 2 6 3" xfId="580"/>
    <cellStyle name="Normal 8 2 6 3 2" xfId="1456"/>
    <cellStyle name="Normal 8 2 6 3 2 2" xfId="2860"/>
    <cellStyle name="Normal 8 2 6 3 3" xfId="1984"/>
    <cellStyle name="Normal 8 2 6 4" xfId="1024"/>
    <cellStyle name="Normal 8 2 6 4 2" xfId="2428"/>
    <cellStyle name="Normal 8 2 6 5" xfId="1628"/>
    <cellStyle name="Normal 8 2 7" xfId="363"/>
    <cellStyle name="Normal 8 2 7 2" xfId="707"/>
    <cellStyle name="Normal 8 2 7 2 2" xfId="2111"/>
    <cellStyle name="Normal 8 2 7 3" xfId="1151"/>
    <cellStyle name="Normal 8 2 7 3 2" xfId="2555"/>
    <cellStyle name="Normal 8 2 7 4" xfId="1767"/>
    <cellStyle name="Normal 8 2 8" xfId="535"/>
    <cellStyle name="Normal 8 2 8 2" xfId="1423"/>
    <cellStyle name="Normal 8 2 8 2 2" xfId="2827"/>
    <cellStyle name="Normal 8 2 8 3" xfId="1939"/>
    <cellStyle name="Normal 8 2 9" xfId="979"/>
    <cellStyle name="Normal 8 2 9 2" xfId="2383"/>
    <cellStyle name="Normal 8 3" xfId="67"/>
    <cellStyle name="Normal 8 3 2" xfId="134"/>
    <cellStyle name="Normal 8 3 2 2" xfId="211"/>
    <cellStyle name="Normal 8 3 2 2 2" xfId="347"/>
    <cellStyle name="Normal 8 3 2 2 2 2" xfId="863"/>
    <cellStyle name="Normal 8 3 2 2 2 2 2" xfId="2267"/>
    <cellStyle name="Normal 8 3 2 2 2 3" xfId="1307"/>
    <cellStyle name="Normal 8 3 2 2 2 3 2" xfId="2711"/>
    <cellStyle name="Normal 8 3 2 2 2 4" xfId="1751"/>
    <cellStyle name="Normal 8 3 2 2 3" xfId="519"/>
    <cellStyle name="Normal 8 3 2 2 3 2" xfId="963"/>
    <cellStyle name="Normal 8 3 2 2 3 2 2" xfId="2367"/>
    <cellStyle name="Normal 8 3 2 2 3 3" xfId="1407"/>
    <cellStyle name="Normal 8 3 2 2 3 3 2" xfId="2811"/>
    <cellStyle name="Normal 8 3 2 2 3 4" xfId="1923"/>
    <cellStyle name="Normal 8 3 2 2 4" xfId="691"/>
    <cellStyle name="Normal 8 3 2 2 4 2" xfId="2095"/>
    <cellStyle name="Normal 8 3 2 2 5" xfId="1135"/>
    <cellStyle name="Normal 8 3 2 2 5 2" xfId="2539"/>
    <cellStyle name="Normal 8 3 2 2 6" xfId="1615"/>
    <cellStyle name="Normal 8 3 2 3" xfId="270"/>
    <cellStyle name="Normal 8 3 2 3 2" xfId="442"/>
    <cellStyle name="Normal 8 3 2 3 2 2" xfId="786"/>
    <cellStyle name="Normal 8 3 2 3 2 2 2" xfId="2190"/>
    <cellStyle name="Normal 8 3 2 3 2 3" xfId="1230"/>
    <cellStyle name="Normal 8 3 2 3 2 3 2" xfId="2634"/>
    <cellStyle name="Normal 8 3 2 3 2 4" xfId="1846"/>
    <cellStyle name="Normal 8 3 2 3 3" xfId="614"/>
    <cellStyle name="Normal 8 3 2 3 3 2" xfId="1475"/>
    <cellStyle name="Normal 8 3 2 3 3 2 2" xfId="2879"/>
    <cellStyle name="Normal 8 3 2 3 3 3" xfId="2018"/>
    <cellStyle name="Normal 8 3 2 3 4" xfId="1058"/>
    <cellStyle name="Normal 8 3 2 3 4 2" xfId="2462"/>
    <cellStyle name="Normal 8 3 2 3 5" xfId="1674"/>
    <cellStyle name="Normal 8 3 2 4" xfId="385"/>
    <cellStyle name="Normal 8 3 2 4 2" xfId="729"/>
    <cellStyle name="Normal 8 3 2 4 2 2" xfId="2133"/>
    <cellStyle name="Normal 8 3 2 4 3" xfId="1173"/>
    <cellStyle name="Normal 8 3 2 4 3 2" xfId="2577"/>
    <cellStyle name="Normal 8 3 2 4 4" xfId="1789"/>
    <cellStyle name="Normal 8 3 2 5" xfId="557"/>
    <cellStyle name="Normal 8 3 2 5 2" xfId="1445"/>
    <cellStyle name="Normal 8 3 2 5 2 2" xfId="2849"/>
    <cellStyle name="Normal 8 3 2 5 3" xfId="1961"/>
    <cellStyle name="Normal 8 3 2 6" xfId="1001"/>
    <cellStyle name="Normal 8 3 2 6 2" xfId="2405"/>
    <cellStyle name="Normal 8 3 2 7" xfId="1538"/>
    <cellStyle name="Normal 8 3 3" xfId="154"/>
    <cellStyle name="Normal 8 3 3 2" xfId="290"/>
    <cellStyle name="Normal 8 3 3 2 2" xfId="806"/>
    <cellStyle name="Normal 8 3 3 2 2 2" xfId="2210"/>
    <cellStyle name="Normal 8 3 3 2 3" xfId="1250"/>
    <cellStyle name="Normal 8 3 3 2 3 2" xfId="2654"/>
    <cellStyle name="Normal 8 3 3 2 4" xfId="1694"/>
    <cellStyle name="Normal 8 3 3 3" xfId="462"/>
    <cellStyle name="Normal 8 3 3 3 2" xfId="906"/>
    <cellStyle name="Normal 8 3 3 3 2 2" xfId="2310"/>
    <cellStyle name="Normal 8 3 3 3 3" xfId="1350"/>
    <cellStyle name="Normal 8 3 3 3 3 2" xfId="2754"/>
    <cellStyle name="Normal 8 3 3 3 4" xfId="1866"/>
    <cellStyle name="Normal 8 3 3 4" xfId="634"/>
    <cellStyle name="Normal 8 3 3 4 2" xfId="2038"/>
    <cellStyle name="Normal 8 3 3 5" xfId="1078"/>
    <cellStyle name="Normal 8 3 3 5 2" xfId="2482"/>
    <cellStyle name="Normal 8 3 3 6" xfId="1558"/>
    <cellStyle name="Normal 8 3 4" xfId="181"/>
    <cellStyle name="Normal 8 3 4 2" xfId="317"/>
    <cellStyle name="Normal 8 3 4 2 2" xfId="833"/>
    <cellStyle name="Normal 8 3 4 2 2 2" xfId="2237"/>
    <cellStyle name="Normal 8 3 4 2 3" xfId="1277"/>
    <cellStyle name="Normal 8 3 4 2 3 2" xfId="2681"/>
    <cellStyle name="Normal 8 3 4 2 4" xfId="1721"/>
    <cellStyle name="Normal 8 3 4 3" xfId="489"/>
    <cellStyle name="Normal 8 3 4 3 2" xfId="933"/>
    <cellStyle name="Normal 8 3 4 3 2 2" xfId="2337"/>
    <cellStyle name="Normal 8 3 4 3 3" xfId="1377"/>
    <cellStyle name="Normal 8 3 4 3 3 2" xfId="2781"/>
    <cellStyle name="Normal 8 3 4 3 4" xfId="1893"/>
    <cellStyle name="Normal 8 3 4 4" xfId="661"/>
    <cellStyle name="Normal 8 3 4 4 2" xfId="2065"/>
    <cellStyle name="Normal 8 3 4 5" xfId="1105"/>
    <cellStyle name="Normal 8 3 4 5 2" xfId="2509"/>
    <cellStyle name="Normal 8 3 4 6" xfId="1585"/>
    <cellStyle name="Normal 8 3 5" xfId="228"/>
    <cellStyle name="Normal 8 3 5 2" xfId="412"/>
    <cellStyle name="Normal 8 3 5 2 2" xfId="756"/>
    <cellStyle name="Normal 8 3 5 2 2 2" xfId="2160"/>
    <cellStyle name="Normal 8 3 5 2 3" xfId="1200"/>
    <cellStyle name="Normal 8 3 5 2 3 2" xfId="2604"/>
    <cellStyle name="Normal 8 3 5 2 4" xfId="1816"/>
    <cellStyle name="Normal 8 3 5 3" xfId="584"/>
    <cellStyle name="Normal 8 3 5 3 2" xfId="1460"/>
    <cellStyle name="Normal 8 3 5 3 2 2" xfId="2864"/>
    <cellStyle name="Normal 8 3 5 3 3" xfId="1988"/>
    <cellStyle name="Normal 8 3 5 4" xfId="1028"/>
    <cellStyle name="Normal 8 3 5 4 2" xfId="2432"/>
    <cellStyle name="Normal 8 3 5 5" xfId="1632"/>
    <cellStyle name="Normal 8 3 6" xfId="367"/>
    <cellStyle name="Normal 8 3 6 2" xfId="711"/>
    <cellStyle name="Normal 8 3 6 2 2" xfId="2115"/>
    <cellStyle name="Normal 8 3 6 3" xfId="1155"/>
    <cellStyle name="Normal 8 3 6 3 2" xfId="2559"/>
    <cellStyle name="Normal 8 3 6 4" xfId="1771"/>
    <cellStyle name="Normal 8 3 7" xfId="539"/>
    <cellStyle name="Normal 8 3 7 2" xfId="1427"/>
    <cellStyle name="Normal 8 3 7 2 2" xfId="2831"/>
    <cellStyle name="Normal 8 3 7 3" xfId="1943"/>
    <cellStyle name="Normal 8 3 8" xfId="983"/>
    <cellStyle name="Normal 8 3 8 2" xfId="2387"/>
    <cellStyle name="Normal 8 3 9" xfId="1496"/>
    <cellStyle name="Normal 8 4" xfId="127"/>
    <cellStyle name="Normal 8 4 2" xfId="147"/>
    <cellStyle name="Normal 8 4 2 2" xfId="283"/>
    <cellStyle name="Normal 8 4 2 2 2" xfId="455"/>
    <cellStyle name="Normal 8 4 2 2 2 2" xfId="799"/>
    <cellStyle name="Normal 8 4 2 2 2 2 2" xfId="2203"/>
    <cellStyle name="Normal 8 4 2 2 2 3" xfId="1243"/>
    <cellStyle name="Normal 8 4 2 2 2 3 2" xfId="2647"/>
    <cellStyle name="Normal 8 4 2 2 2 4" xfId="1859"/>
    <cellStyle name="Normal 8 4 2 2 3" xfId="627"/>
    <cellStyle name="Normal 8 4 2 2 3 2" xfId="1486"/>
    <cellStyle name="Normal 8 4 2 2 3 2 2" xfId="2890"/>
    <cellStyle name="Normal 8 4 2 2 3 3" xfId="2031"/>
    <cellStyle name="Normal 8 4 2 2 4" xfId="1071"/>
    <cellStyle name="Normal 8 4 2 2 4 2" xfId="2475"/>
    <cellStyle name="Normal 8 4 2 2 5" xfId="1687"/>
    <cellStyle name="Normal 8 4 2 3" xfId="378"/>
    <cellStyle name="Normal 8 4 2 3 2" xfId="722"/>
    <cellStyle name="Normal 8 4 2 3 2 2" xfId="2126"/>
    <cellStyle name="Normal 8 4 2 3 3" xfId="1166"/>
    <cellStyle name="Normal 8 4 2 3 3 2" xfId="2570"/>
    <cellStyle name="Normal 8 4 2 3 4" xfId="1782"/>
    <cellStyle name="Normal 8 4 2 4" xfId="550"/>
    <cellStyle name="Normal 8 4 2 4 2" xfId="1438"/>
    <cellStyle name="Normal 8 4 2 4 2 2" xfId="2842"/>
    <cellStyle name="Normal 8 4 2 4 3" xfId="1954"/>
    <cellStyle name="Normal 8 4 2 5" xfId="994"/>
    <cellStyle name="Normal 8 4 2 5 2" xfId="2398"/>
    <cellStyle name="Normal 8 4 2 6" xfId="1551"/>
    <cellStyle name="Normal 8 4 3" xfId="204"/>
    <cellStyle name="Normal 8 4 3 2" xfId="340"/>
    <cellStyle name="Normal 8 4 3 2 2" xfId="856"/>
    <cellStyle name="Normal 8 4 3 2 2 2" xfId="2260"/>
    <cellStyle name="Normal 8 4 3 2 3" xfId="1300"/>
    <cellStyle name="Normal 8 4 3 2 3 2" xfId="2704"/>
    <cellStyle name="Normal 8 4 3 2 4" xfId="1744"/>
    <cellStyle name="Normal 8 4 3 3" xfId="512"/>
    <cellStyle name="Normal 8 4 3 3 2" xfId="956"/>
    <cellStyle name="Normal 8 4 3 3 2 2" xfId="2360"/>
    <cellStyle name="Normal 8 4 3 3 3" xfId="1400"/>
    <cellStyle name="Normal 8 4 3 3 3 2" xfId="2804"/>
    <cellStyle name="Normal 8 4 3 3 4" xfId="1916"/>
    <cellStyle name="Normal 8 4 3 4" xfId="684"/>
    <cellStyle name="Normal 8 4 3 4 2" xfId="2088"/>
    <cellStyle name="Normal 8 4 3 5" xfId="1128"/>
    <cellStyle name="Normal 8 4 3 5 2" xfId="2532"/>
    <cellStyle name="Normal 8 4 3 6" xfId="1608"/>
    <cellStyle name="Normal 8 4 4" xfId="263"/>
    <cellStyle name="Normal 8 4 4 2" xfId="435"/>
    <cellStyle name="Normal 8 4 4 2 2" xfId="779"/>
    <cellStyle name="Normal 8 4 4 2 2 2" xfId="2183"/>
    <cellStyle name="Normal 8 4 4 2 3" xfId="1223"/>
    <cellStyle name="Normal 8 4 4 2 3 2" xfId="2627"/>
    <cellStyle name="Normal 8 4 4 2 4" xfId="1839"/>
    <cellStyle name="Normal 8 4 4 3" xfId="607"/>
    <cellStyle name="Normal 8 4 4 3 2" xfId="1468"/>
    <cellStyle name="Normal 8 4 4 3 2 2" xfId="2872"/>
    <cellStyle name="Normal 8 4 4 3 3" xfId="2011"/>
    <cellStyle name="Normal 8 4 4 4" xfId="1051"/>
    <cellStyle name="Normal 8 4 4 4 2" xfId="2455"/>
    <cellStyle name="Normal 8 4 4 5" xfId="1667"/>
    <cellStyle name="Normal 8 4 5" xfId="360"/>
    <cellStyle name="Normal 8 4 5 2" xfId="704"/>
    <cellStyle name="Normal 8 4 5 2 2" xfId="2108"/>
    <cellStyle name="Normal 8 4 5 3" xfId="1148"/>
    <cellStyle name="Normal 8 4 5 3 2" xfId="2552"/>
    <cellStyle name="Normal 8 4 5 4" xfId="1764"/>
    <cellStyle name="Normal 8 4 6" xfId="532"/>
    <cellStyle name="Normal 8 4 6 2" xfId="1420"/>
    <cellStyle name="Normal 8 4 6 2 2" xfId="2824"/>
    <cellStyle name="Normal 8 4 6 3" xfId="1936"/>
    <cellStyle name="Normal 8 4 7" xfId="976"/>
    <cellStyle name="Normal 8 4 7 2" xfId="2380"/>
    <cellStyle name="Normal 8 4 8" xfId="1531"/>
    <cellStyle name="Normal 8 5" xfId="145"/>
    <cellStyle name="Normal 8 5 2" xfId="281"/>
    <cellStyle name="Normal 8 5 2 2" xfId="453"/>
    <cellStyle name="Normal 8 5 2 2 2" xfId="797"/>
    <cellStyle name="Normal 8 5 2 2 2 2" xfId="2201"/>
    <cellStyle name="Normal 8 5 2 2 3" xfId="1241"/>
    <cellStyle name="Normal 8 5 2 2 3 2" xfId="2645"/>
    <cellStyle name="Normal 8 5 2 2 4" xfId="1857"/>
    <cellStyle name="Normal 8 5 2 3" xfId="625"/>
    <cellStyle name="Normal 8 5 2 3 2" xfId="1484"/>
    <cellStyle name="Normal 8 5 2 3 2 2" xfId="2888"/>
    <cellStyle name="Normal 8 5 2 3 3" xfId="2029"/>
    <cellStyle name="Normal 8 5 2 4" xfId="1069"/>
    <cellStyle name="Normal 8 5 2 4 2" xfId="2473"/>
    <cellStyle name="Normal 8 5 2 5" xfId="1685"/>
    <cellStyle name="Normal 8 5 3" xfId="376"/>
    <cellStyle name="Normal 8 5 3 2" xfId="720"/>
    <cellStyle name="Normal 8 5 3 2 2" xfId="2124"/>
    <cellStyle name="Normal 8 5 3 3" xfId="1164"/>
    <cellStyle name="Normal 8 5 3 3 2" xfId="2568"/>
    <cellStyle name="Normal 8 5 3 4" xfId="1780"/>
    <cellStyle name="Normal 8 5 4" xfId="548"/>
    <cellStyle name="Normal 8 5 4 2" xfId="1436"/>
    <cellStyle name="Normal 8 5 4 2 2" xfId="2840"/>
    <cellStyle name="Normal 8 5 4 3" xfId="1952"/>
    <cellStyle name="Normal 8 5 5" xfId="992"/>
    <cellStyle name="Normal 8 5 5 2" xfId="2396"/>
    <cellStyle name="Normal 8 5 6" xfId="1549"/>
    <cellStyle name="Normal 8 6" xfId="174"/>
    <cellStyle name="Normal 8 6 2" xfId="310"/>
    <cellStyle name="Normal 8 6 2 2" xfId="826"/>
    <cellStyle name="Normal 8 6 2 2 2" xfId="2230"/>
    <cellStyle name="Normal 8 6 2 3" xfId="1270"/>
    <cellStyle name="Normal 8 6 2 3 2" xfId="2674"/>
    <cellStyle name="Normal 8 6 2 4" xfId="1714"/>
    <cellStyle name="Normal 8 6 3" xfId="482"/>
    <cellStyle name="Normal 8 6 3 2" xfId="926"/>
    <cellStyle name="Normal 8 6 3 2 2" xfId="2330"/>
    <cellStyle name="Normal 8 6 3 3" xfId="1370"/>
    <cellStyle name="Normal 8 6 3 3 2" xfId="2774"/>
    <cellStyle name="Normal 8 6 3 4" xfId="1886"/>
    <cellStyle name="Normal 8 6 4" xfId="654"/>
    <cellStyle name="Normal 8 6 4 2" xfId="2058"/>
    <cellStyle name="Normal 8 6 5" xfId="1098"/>
    <cellStyle name="Normal 8 6 5 2" xfId="2502"/>
    <cellStyle name="Normal 8 6 6" xfId="1578"/>
    <cellStyle name="Normal 8 7" xfId="221"/>
    <cellStyle name="Normal 8 7 2" xfId="405"/>
    <cellStyle name="Normal 8 7 2 2" xfId="749"/>
    <cellStyle name="Normal 8 7 2 2 2" xfId="2153"/>
    <cellStyle name="Normal 8 7 2 3" xfId="1193"/>
    <cellStyle name="Normal 8 7 2 3 2" xfId="2597"/>
    <cellStyle name="Normal 8 7 2 4" xfId="1809"/>
    <cellStyle name="Normal 8 7 3" xfId="577"/>
    <cellStyle name="Normal 8 7 3 2" xfId="1453"/>
    <cellStyle name="Normal 8 7 3 2 2" xfId="2857"/>
    <cellStyle name="Normal 8 7 3 3" xfId="1981"/>
    <cellStyle name="Normal 8 7 4" xfId="1021"/>
    <cellStyle name="Normal 8 7 4 2" xfId="2425"/>
    <cellStyle name="Normal 8 7 5" xfId="1625"/>
    <cellStyle name="Normal 8 8" xfId="358"/>
    <cellStyle name="Normal 8 8 2" xfId="702"/>
    <cellStyle name="Normal 8 8 2 2" xfId="2106"/>
    <cellStyle name="Normal 8 8 3" xfId="1146"/>
    <cellStyle name="Normal 8 8 3 2" xfId="2550"/>
    <cellStyle name="Normal 8 8 4" xfId="1762"/>
    <cellStyle name="Normal 8 9" xfId="530"/>
    <cellStyle name="Normal 8 9 2" xfId="1418"/>
    <cellStyle name="Normal 8 9 2 2" xfId="2822"/>
    <cellStyle name="Normal 8 9 3" xfId="1934"/>
    <cellStyle name="Normal 9" xfId="65"/>
    <cellStyle name="Normal 9 10" xfId="1494"/>
    <cellStyle name="Normal 9 2" xfId="72"/>
    <cellStyle name="Normal 9 2 2" xfId="139"/>
    <cellStyle name="Normal 9 2 2 2" xfId="216"/>
    <cellStyle name="Normal 9 2 2 2 2" xfId="352"/>
    <cellStyle name="Normal 9 2 2 2 2 2" xfId="868"/>
    <cellStyle name="Normal 9 2 2 2 2 2 2" xfId="2272"/>
    <cellStyle name="Normal 9 2 2 2 2 3" xfId="1312"/>
    <cellStyle name="Normal 9 2 2 2 2 3 2" xfId="2716"/>
    <cellStyle name="Normal 9 2 2 2 2 4" xfId="1756"/>
    <cellStyle name="Normal 9 2 2 2 3" xfId="524"/>
    <cellStyle name="Normal 9 2 2 2 3 2" xfId="968"/>
    <cellStyle name="Normal 9 2 2 2 3 2 2" xfId="2372"/>
    <cellStyle name="Normal 9 2 2 2 3 3" xfId="1412"/>
    <cellStyle name="Normal 9 2 2 2 3 3 2" xfId="2816"/>
    <cellStyle name="Normal 9 2 2 2 3 4" xfId="1928"/>
    <cellStyle name="Normal 9 2 2 2 4" xfId="696"/>
    <cellStyle name="Normal 9 2 2 2 4 2" xfId="2100"/>
    <cellStyle name="Normal 9 2 2 2 5" xfId="1140"/>
    <cellStyle name="Normal 9 2 2 2 5 2" xfId="2544"/>
    <cellStyle name="Normal 9 2 2 2 6" xfId="1620"/>
    <cellStyle name="Normal 9 2 2 3" xfId="275"/>
    <cellStyle name="Normal 9 2 2 3 2" xfId="447"/>
    <cellStyle name="Normal 9 2 2 3 2 2" xfId="791"/>
    <cellStyle name="Normal 9 2 2 3 2 2 2" xfId="2195"/>
    <cellStyle name="Normal 9 2 2 3 2 3" xfId="1235"/>
    <cellStyle name="Normal 9 2 2 3 2 3 2" xfId="2639"/>
    <cellStyle name="Normal 9 2 2 3 2 4" xfId="1851"/>
    <cellStyle name="Normal 9 2 2 3 3" xfId="619"/>
    <cellStyle name="Normal 9 2 2 3 3 2" xfId="1480"/>
    <cellStyle name="Normal 9 2 2 3 3 2 2" xfId="2884"/>
    <cellStyle name="Normal 9 2 2 3 3 3" xfId="2023"/>
    <cellStyle name="Normal 9 2 2 3 4" xfId="1063"/>
    <cellStyle name="Normal 9 2 2 3 4 2" xfId="2467"/>
    <cellStyle name="Normal 9 2 2 3 5" xfId="1679"/>
    <cellStyle name="Normal 9 2 2 4" xfId="390"/>
    <cellStyle name="Normal 9 2 2 4 2" xfId="734"/>
    <cellStyle name="Normal 9 2 2 4 2 2" xfId="2138"/>
    <cellStyle name="Normal 9 2 2 4 3" xfId="1178"/>
    <cellStyle name="Normal 9 2 2 4 3 2" xfId="2582"/>
    <cellStyle name="Normal 9 2 2 4 4" xfId="1794"/>
    <cellStyle name="Normal 9 2 2 5" xfId="562"/>
    <cellStyle name="Normal 9 2 2 5 2" xfId="1450"/>
    <cellStyle name="Normal 9 2 2 5 2 2" xfId="2854"/>
    <cellStyle name="Normal 9 2 2 5 3" xfId="1966"/>
    <cellStyle name="Normal 9 2 2 6" xfId="1006"/>
    <cellStyle name="Normal 9 2 2 6 2" xfId="2410"/>
    <cellStyle name="Normal 9 2 2 7" xfId="1543"/>
    <cellStyle name="Normal 9 2 3" xfId="159"/>
    <cellStyle name="Normal 9 2 3 2" xfId="295"/>
    <cellStyle name="Normal 9 2 3 2 2" xfId="811"/>
    <cellStyle name="Normal 9 2 3 2 2 2" xfId="2215"/>
    <cellStyle name="Normal 9 2 3 2 3" xfId="1255"/>
    <cellStyle name="Normal 9 2 3 2 3 2" xfId="2659"/>
    <cellStyle name="Normal 9 2 3 2 4" xfId="1699"/>
    <cellStyle name="Normal 9 2 3 3" xfId="467"/>
    <cellStyle name="Normal 9 2 3 3 2" xfId="911"/>
    <cellStyle name="Normal 9 2 3 3 2 2" xfId="2315"/>
    <cellStyle name="Normal 9 2 3 3 3" xfId="1355"/>
    <cellStyle name="Normal 9 2 3 3 3 2" xfId="2759"/>
    <cellStyle name="Normal 9 2 3 3 4" xfId="1871"/>
    <cellStyle name="Normal 9 2 3 4" xfId="639"/>
    <cellStyle name="Normal 9 2 3 4 2" xfId="2043"/>
    <cellStyle name="Normal 9 2 3 5" xfId="1083"/>
    <cellStyle name="Normal 9 2 3 5 2" xfId="2487"/>
    <cellStyle name="Normal 9 2 3 6" xfId="1563"/>
    <cellStyle name="Normal 9 2 4" xfId="186"/>
    <cellStyle name="Normal 9 2 4 2" xfId="322"/>
    <cellStyle name="Normal 9 2 4 2 2" xfId="838"/>
    <cellStyle name="Normal 9 2 4 2 2 2" xfId="2242"/>
    <cellStyle name="Normal 9 2 4 2 3" xfId="1282"/>
    <cellStyle name="Normal 9 2 4 2 3 2" xfId="2686"/>
    <cellStyle name="Normal 9 2 4 2 4" xfId="1726"/>
    <cellStyle name="Normal 9 2 4 3" xfId="494"/>
    <cellStyle name="Normal 9 2 4 3 2" xfId="938"/>
    <cellStyle name="Normal 9 2 4 3 2 2" xfId="2342"/>
    <cellStyle name="Normal 9 2 4 3 3" xfId="1382"/>
    <cellStyle name="Normal 9 2 4 3 3 2" xfId="2786"/>
    <cellStyle name="Normal 9 2 4 3 4" xfId="1898"/>
    <cellStyle name="Normal 9 2 4 4" xfId="666"/>
    <cellStyle name="Normal 9 2 4 4 2" xfId="2070"/>
    <cellStyle name="Normal 9 2 4 5" xfId="1110"/>
    <cellStyle name="Normal 9 2 4 5 2" xfId="2514"/>
    <cellStyle name="Normal 9 2 4 6" xfId="1590"/>
    <cellStyle name="Normal 9 2 5" xfId="233"/>
    <cellStyle name="Normal 9 2 5 2" xfId="417"/>
    <cellStyle name="Normal 9 2 5 2 2" xfId="761"/>
    <cellStyle name="Normal 9 2 5 2 2 2" xfId="2165"/>
    <cellStyle name="Normal 9 2 5 2 3" xfId="1205"/>
    <cellStyle name="Normal 9 2 5 2 3 2" xfId="2609"/>
    <cellStyle name="Normal 9 2 5 2 4" xfId="1821"/>
    <cellStyle name="Normal 9 2 5 3" xfId="589"/>
    <cellStyle name="Normal 9 2 5 3 2" xfId="1465"/>
    <cellStyle name="Normal 9 2 5 3 2 2" xfId="2869"/>
    <cellStyle name="Normal 9 2 5 3 3" xfId="1993"/>
    <cellStyle name="Normal 9 2 5 4" xfId="1033"/>
    <cellStyle name="Normal 9 2 5 4 2" xfId="2437"/>
    <cellStyle name="Normal 9 2 5 5" xfId="1637"/>
    <cellStyle name="Normal 9 2 6" xfId="372"/>
    <cellStyle name="Normal 9 2 6 2" xfId="716"/>
    <cellStyle name="Normal 9 2 6 2 2" xfId="2120"/>
    <cellStyle name="Normal 9 2 6 3" xfId="1160"/>
    <cellStyle name="Normal 9 2 6 3 2" xfId="2564"/>
    <cellStyle name="Normal 9 2 6 4" xfId="1776"/>
    <cellStyle name="Normal 9 2 7" xfId="544"/>
    <cellStyle name="Normal 9 2 7 2" xfId="1432"/>
    <cellStyle name="Normal 9 2 7 2 2" xfId="2836"/>
    <cellStyle name="Normal 9 2 7 3" xfId="1948"/>
    <cellStyle name="Normal 9 2 8" xfId="988"/>
    <cellStyle name="Normal 9 2 8 2" xfId="2392"/>
    <cellStyle name="Normal 9 2 9" xfId="1501"/>
    <cellStyle name="Normal 9 3" xfId="132"/>
    <cellStyle name="Normal 9 3 2" xfId="209"/>
    <cellStyle name="Normal 9 3 2 2" xfId="345"/>
    <cellStyle name="Normal 9 3 2 2 2" xfId="861"/>
    <cellStyle name="Normal 9 3 2 2 2 2" xfId="2265"/>
    <cellStyle name="Normal 9 3 2 2 3" xfId="1305"/>
    <cellStyle name="Normal 9 3 2 2 3 2" xfId="2709"/>
    <cellStyle name="Normal 9 3 2 2 4" xfId="1749"/>
    <cellStyle name="Normal 9 3 2 3" xfId="517"/>
    <cellStyle name="Normal 9 3 2 3 2" xfId="961"/>
    <cellStyle name="Normal 9 3 2 3 2 2" xfId="2365"/>
    <cellStyle name="Normal 9 3 2 3 3" xfId="1405"/>
    <cellStyle name="Normal 9 3 2 3 3 2" xfId="2809"/>
    <cellStyle name="Normal 9 3 2 3 4" xfId="1921"/>
    <cellStyle name="Normal 9 3 2 4" xfId="689"/>
    <cellStyle name="Normal 9 3 2 4 2" xfId="2093"/>
    <cellStyle name="Normal 9 3 2 5" xfId="1133"/>
    <cellStyle name="Normal 9 3 2 5 2" xfId="2537"/>
    <cellStyle name="Normal 9 3 2 6" xfId="1613"/>
    <cellStyle name="Normal 9 3 3" xfId="268"/>
    <cellStyle name="Normal 9 3 3 2" xfId="440"/>
    <cellStyle name="Normal 9 3 3 2 2" xfId="784"/>
    <cellStyle name="Normal 9 3 3 2 2 2" xfId="2188"/>
    <cellStyle name="Normal 9 3 3 2 3" xfId="1228"/>
    <cellStyle name="Normal 9 3 3 2 3 2" xfId="2632"/>
    <cellStyle name="Normal 9 3 3 2 4" xfId="1844"/>
    <cellStyle name="Normal 9 3 3 3" xfId="612"/>
    <cellStyle name="Normal 9 3 3 3 2" xfId="1473"/>
    <cellStyle name="Normal 9 3 3 3 2 2" xfId="2877"/>
    <cellStyle name="Normal 9 3 3 3 3" xfId="2016"/>
    <cellStyle name="Normal 9 3 3 4" xfId="1056"/>
    <cellStyle name="Normal 9 3 3 4 2" xfId="2460"/>
    <cellStyle name="Normal 9 3 3 5" xfId="1672"/>
    <cellStyle name="Normal 9 3 4" xfId="383"/>
    <cellStyle name="Normal 9 3 4 2" xfId="727"/>
    <cellStyle name="Normal 9 3 4 2 2" xfId="2131"/>
    <cellStyle name="Normal 9 3 4 3" xfId="1171"/>
    <cellStyle name="Normal 9 3 4 3 2" xfId="2575"/>
    <cellStyle name="Normal 9 3 4 4" xfId="1787"/>
    <cellStyle name="Normal 9 3 5" xfId="555"/>
    <cellStyle name="Normal 9 3 5 2" xfId="1443"/>
    <cellStyle name="Normal 9 3 5 2 2" xfId="2847"/>
    <cellStyle name="Normal 9 3 5 3" xfId="1959"/>
    <cellStyle name="Normal 9 3 6" xfId="999"/>
    <cellStyle name="Normal 9 3 6 2" xfId="2403"/>
    <cellStyle name="Normal 9 3 7" xfId="1536"/>
    <cellStyle name="Normal 9 4" xfId="152"/>
    <cellStyle name="Normal 9 4 2" xfId="288"/>
    <cellStyle name="Normal 9 4 2 2" xfId="804"/>
    <cellStyle name="Normal 9 4 2 2 2" xfId="2208"/>
    <cellStyle name="Normal 9 4 2 3" xfId="1248"/>
    <cellStyle name="Normal 9 4 2 3 2" xfId="2652"/>
    <cellStyle name="Normal 9 4 2 4" xfId="1692"/>
    <cellStyle name="Normal 9 4 3" xfId="460"/>
    <cellStyle name="Normal 9 4 3 2" xfId="904"/>
    <cellStyle name="Normal 9 4 3 2 2" xfId="2308"/>
    <cellStyle name="Normal 9 4 3 3" xfId="1348"/>
    <cellStyle name="Normal 9 4 3 3 2" xfId="2752"/>
    <cellStyle name="Normal 9 4 3 4" xfId="1864"/>
    <cellStyle name="Normal 9 4 4" xfId="632"/>
    <cellStyle name="Normal 9 4 4 2" xfId="2036"/>
    <cellStyle name="Normal 9 4 5" xfId="1076"/>
    <cellStyle name="Normal 9 4 5 2" xfId="2480"/>
    <cellStyle name="Normal 9 4 6" xfId="1556"/>
    <cellStyle name="Normal 9 5" xfId="179"/>
    <cellStyle name="Normal 9 5 2" xfId="315"/>
    <cellStyle name="Normal 9 5 2 2" xfId="831"/>
    <cellStyle name="Normal 9 5 2 2 2" xfId="2235"/>
    <cellStyle name="Normal 9 5 2 3" xfId="1275"/>
    <cellStyle name="Normal 9 5 2 3 2" xfId="2679"/>
    <cellStyle name="Normal 9 5 2 4" xfId="1719"/>
    <cellStyle name="Normal 9 5 3" xfId="487"/>
    <cellStyle name="Normal 9 5 3 2" xfId="931"/>
    <cellStyle name="Normal 9 5 3 2 2" xfId="2335"/>
    <cellStyle name="Normal 9 5 3 3" xfId="1375"/>
    <cellStyle name="Normal 9 5 3 3 2" xfId="2779"/>
    <cellStyle name="Normal 9 5 3 4" xfId="1891"/>
    <cellStyle name="Normal 9 5 4" xfId="659"/>
    <cellStyle name="Normal 9 5 4 2" xfId="2063"/>
    <cellStyle name="Normal 9 5 5" xfId="1103"/>
    <cellStyle name="Normal 9 5 5 2" xfId="2507"/>
    <cellStyle name="Normal 9 5 6" xfId="1583"/>
    <cellStyle name="Normal 9 6" xfId="226"/>
    <cellStyle name="Normal 9 6 2" xfId="410"/>
    <cellStyle name="Normal 9 6 2 2" xfId="754"/>
    <cellStyle name="Normal 9 6 2 2 2" xfId="2158"/>
    <cellStyle name="Normal 9 6 2 3" xfId="1198"/>
    <cellStyle name="Normal 9 6 2 3 2" xfId="2602"/>
    <cellStyle name="Normal 9 6 2 4" xfId="1814"/>
    <cellStyle name="Normal 9 6 3" xfId="582"/>
    <cellStyle name="Normal 9 6 3 2" xfId="1458"/>
    <cellStyle name="Normal 9 6 3 2 2" xfId="2862"/>
    <cellStyle name="Normal 9 6 3 3" xfId="1986"/>
    <cellStyle name="Normal 9 6 4" xfId="1026"/>
    <cellStyle name="Normal 9 6 4 2" xfId="2430"/>
    <cellStyle name="Normal 9 6 5" xfId="1630"/>
    <cellStyle name="Normal 9 7" xfId="365"/>
    <cellStyle name="Normal 9 7 2" xfId="709"/>
    <cellStyle name="Normal 9 7 2 2" xfId="2113"/>
    <cellStyle name="Normal 9 7 3" xfId="1153"/>
    <cellStyle name="Normal 9 7 3 2" xfId="2557"/>
    <cellStyle name="Normal 9 7 4" xfId="1769"/>
    <cellStyle name="Normal 9 8" xfId="537"/>
    <cellStyle name="Normal 9 8 2" xfId="1425"/>
    <cellStyle name="Normal 9 8 2 2" xfId="2829"/>
    <cellStyle name="Normal 9 8 3" xfId="1941"/>
    <cellStyle name="Normal 9 9" xfId="981"/>
    <cellStyle name="Normal 9 9 2" xfId="2385"/>
    <cellStyle name="Note 2" xfId="52"/>
    <cellStyle name="Note 3" xfId="111"/>
    <cellStyle name="Note 3 2" xfId="142"/>
    <cellStyle name="Note 3 2 2" xfId="219"/>
    <cellStyle name="Note 3 2 2 2" xfId="355"/>
    <cellStyle name="Note 3 2 2 2 2" xfId="871"/>
    <cellStyle name="Note 3 2 2 2 2 2" xfId="2275"/>
    <cellStyle name="Note 3 2 2 2 3" xfId="1315"/>
    <cellStyle name="Note 3 2 2 2 3 2" xfId="2719"/>
    <cellStyle name="Note 3 2 2 2 4" xfId="1759"/>
    <cellStyle name="Note 3 2 2 3" xfId="527"/>
    <cellStyle name="Note 3 2 2 3 2" xfId="971"/>
    <cellStyle name="Note 3 2 2 3 2 2" xfId="2375"/>
    <cellStyle name="Note 3 2 2 3 3" xfId="1415"/>
    <cellStyle name="Note 3 2 2 3 3 2" xfId="2819"/>
    <cellStyle name="Note 3 2 2 3 4" xfId="1931"/>
    <cellStyle name="Note 3 2 2 4" xfId="699"/>
    <cellStyle name="Note 3 2 2 4 2" xfId="2103"/>
    <cellStyle name="Note 3 2 2 5" xfId="1143"/>
    <cellStyle name="Note 3 2 2 5 2" xfId="2547"/>
    <cellStyle name="Note 3 2 2 6" xfId="1623"/>
    <cellStyle name="Note 3 2 3" xfId="278"/>
    <cellStyle name="Note 3 2 3 2" xfId="794"/>
    <cellStyle name="Note 3 2 3 2 2" xfId="2198"/>
    <cellStyle name="Note 3 2 3 3" xfId="1238"/>
    <cellStyle name="Note 3 2 3 3 2" xfId="2642"/>
    <cellStyle name="Note 3 2 3 4" xfId="1682"/>
    <cellStyle name="Note 3 2 4" xfId="450"/>
    <cellStyle name="Note 3 2 4 2" xfId="900"/>
    <cellStyle name="Note 3 2 4 2 2" xfId="2304"/>
    <cellStyle name="Note 3 2 4 3" xfId="1344"/>
    <cellStyle name="Note 3 2 4 3 2" xfId="2748"/>
    <cellStyle name="Note 3 2 4 4" xfId="1854"/>
    <cellStyle name="Note 3 2 5" xfId="622"/>
    <cellStyle name="Note 3 2 5 2" xfId="2026"/>
    <cellStyle name="Note 3 2 6" xfId="1066"/>
    <cellStyle name="Note 3 2 6 2" xfId="2470"/>
    <cellStyle name="Note 3 2 7" xfId="1546"/>
    <cellStyle name="Note 3 3" xfId="189"/>
    <cellStyle name="Note 3 3 2" xfId="325"/>
    <cellStyle name="Note 3 3 2 2" xfId="841"/>
    <cellStyle name="Note 3 3 2 2 2" xfId="2245"/>
    <cellStyle name="Note 3 3 2 3" xfId="1285"/>
    <cellStyle name="Note 3 3 2 3 2" xfId="2689"/>
    <cellStyle name="Note 3 3 2 4" xfId="1729"/>
    <cellStyle name="Note 3 3 3" xfId="497"/>
    <cellStyle name="Note 3 3 3 2" xfId="941"/>
    <cellStyle name="Note 3 3 3 2 2" xfId="2345"/>
    <cellStyle name="Note 3 3 3 3" xfId="1385"/>
    <cellStyle name="Note 3 3 3 3 2" xfId="2789"/>
    <cellStyle name="Note 3 3 3 4" xfId="1901"/>
    <cellStyle name="Note 3 3 4" xfId="669"/>
    <cellStyle name="Note 3 3 4 2" xfId="2073"/>
    <cellStyle name="Note 3 3 5" xfId="1113"/>
    <cellStyle name="Note 3 3 5 2" xfId="2517"/>
    <cellStyle name="Note 3 3 6" xfId="1593"/>
    <cellStyle name="Note 3 4" xfId="248"/>
    <cellStyle name="Note 3 4 2" xfId="764"/>
    <cellStyle name="Note 3 4 2 2" xfId="2168"/>
    <cellStyle name="Note 3 4 3" xfId="1208"/>
    <cellStyle name="Note 3 4 3 2" xfId="2612"/>
    <cellStyle name="Note 3 4 4" xfId="1652"/>
    <cellStyle name="Note 3 5" xfId="420"/>
    <cellStyle name="Note 3 5 2" xfId="885"/>
    <cellStyle name="Note 3 5 2 2" xfId="2289"/>
    <cellStyle name="Note 3 5 3" xfId="1329"/>
    <cellStyle name="Note 3 5 3 2" xfId="2733"/>
    <cellStyle name="Note 3 5 4" xfId="1824"/>
    <cellStyle name="Note 3 6" xfId="592"/>
    <cellStyle name="Note 3 6 2" xfId="1996"/>
    <cellStyle name="Note 3 7" xfId="1036"/>
    <cellStyle name="Note 3 7 2" xfId="2440"/>
    <cellStyle name="Note 3 8" xfId="1516"/>
    <cellStyle name="Output" xfId="79" builtinId="21" customBuiltin="1"/>
    <cellStyle name="Output 2" xfId="53"/>
    <cellStyle name="PROC" xfId="54"/>
    <cellStyle name="SignalStyle" xfId="2894"/>
    <cellStyle name="Title" xfId="74" builtinId="15" customBuiltin="1"/>
    <cellStyle name="Title 2" xfId="55"/>
    <cellStyle name="Total" xfId="85" builtinId="25" customBuiltin="1"/>
    <cellStyle name="Total 2" xfId="56"/>
    <cellStyle name="VendorIncludedStyle" xfId="2896"/>
    <cellStyle name="VendorStyle" xfId="2895"/>
    <cellStyle name="Warning Text" xfId="83" builtinId="11" customBuiltin="1"/>
    <cellStyle name="Warning Text 2" xfId="57"/>
  </cellStyles>
  <dxfs count="1">
    <dxf>
      <font>
        <condense val="0"/>
        <extend val="0"/>
        <color rgb="FF9C0006"/>
      </font>
      <fill>
        <patternFill>
          <bgColor rgb="FFFFC7CE"/>
        </patternFill>
      </fill>
    </dxf>
  </dxfs>
  <tableStyles count="0" defaultTableStyle="TableStyleMedium9" defaultPivotStyle="PivotStyleLight16"/>
  <colors>
    <mruColors>
      <color rgb="FFF5FFF0"/>
      <color rgb="FFF5DEB3"/>
      <color rgb="FFF5F5F5"/>
      <color rgb="FFDCDCD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2"/>
  <sheetViews>
    <sheetView zoomScaleNormal="100" workbookViewId="0">
      <pane ySplit="2" topLeftCell="A3" activePane="bottomLeft" state="frozen"/>
      <selection pane="bottomLeft" activeCell="J4" sqref="J4:L4"/>
    </sheetView>
  </sheetViews>
  <sheetFormatPr defaultRowHeight="12.75" x14ac:dyDescent="0.2"/>
  <cols>
    <col min="1" max="1" width="10" customWidth="1"/>
    <col min="2" max="2" width="24.42578125" customWidth="1"/>
    <col min="3" max="3" width="8.85546875" customWidth="1"/>
    <col min="4" max="4" width="9.7109375" customWidth="1"/>
    <col min="5" max="5" width="16.7109375" customWidth="1"/>
    <col min="6" max="6" width="20.7109375" customWidth="1"/>
    <col min="7" max="7" width="24.7109375" customWidth="1"/>
    <col min="8" max="12" width="9.7109375" customWidth="1"/>
    <col min="13" max="15" width="10.7109375" customWidth="1"/>
    <col min="16" max="17" width="20.7109375" customWidth="1"/>
  </cols>
  <sheetData>
    <row r="1" spans="1:16" ht="16.5" thickTop="1" thickBot="1" x14ac:dyDescent="0.25">
      <c r="A1" s="126" t="s">
        <v>500</v>
      </c>
      <c r="B1" s="127"/>
      <c r="C1" s="127"/>
      <c r="D1" s="128"/>
      <c r="E1" s="126" t="s">
        <v>484</v>
      </c>
      <c r="F1" s="127"/>
      <c r="G1" s="128"/>
      <c r="H1" s="126" t="s">
        <v>485</v>
      </c>
      <c r="I1" s="127"/>
      <c r="J1" s="127"/>
      <c r="K1" s="127"/>
      <c r="L1" s="128"/>
      <c r="M1" s="126" t="s">
        <v>486</v>
      </c>
      <c r="N1" s="127"/>
      <c r="O1" s="128"/>
      <c r="P1" s="129" t="s">
        <v>487</v>
      </c>
    </row>
    <row r="2" spans="1:16" ht="26.25" thickTop="1" x14ac:dyDescent="0.2">
      <c r="A2" s="120" t="s">
        <v>488</v>
      </c>
      <c r="B2" s="120" t="s">
        <v>489</v>
      </c>
      <c r="C2" s="120" t="s">
        <v>501</v>
      </c>
      <c r="D2" s="120" t="s">
        <v>502</v>
      </c>
      <c r="E2" s="120" t="s">
        <v>491</v>
      </c>
      <c r="F2" s="120" t="s">
        <v>492</v>
      </c>
      <c r="G2" s="120" t="s">
        <v>493</v>
      </c>
      <c r="H2" s="120" t="s">
        <v>9</v>
      </c>
      <c r="I2" s="120" t="s">
        <v>494</v>
      </c>
      <c r="J2" s="120" t="s">
        <v>495</v>
      </c>
      <c r="K2" s="120" t="s">
        <v>496</v>
      </c>
      <c r="L2" s="120" t="s">
        <v>497</v>
      </c>
      <c r="M2" s="120" t="s">
        <v>73</v>
      </c>
      <c r="N2" s="120" t="s">
        <v>498</v>
      </c>
      <c r="O2" s="120" t="s">
        <v>499</v>
      </c>
      <c r="P2" s="130"/>
    </row>
  </sheetData>
  <dataConsolidate/>
  <mergeCells count="5">
    <mergeCell ref="A1:D1"/>
    <mergeCell ref="E1:G1"/>
    <mergeCell ref="H1:L1"/>
    <mergeCell ref="M1:O1"/>
    <mergeCell ref="P1:P2"/>
  </mergeCell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P38"/>
  <sheetViews>
    <sheetView tabSelected="1" zoomScaleNormal="100" zoomScaleSheetLayoutView="75" workbookViewId="0">
      <pane ySplit="2" topLeftCell="A3" activePane="bottomLeft" state="frozen"/>
      <selection pane="bottomLeft" activeCell="C12" sqref="C12"/>
    </sheetView>
  </sheetViews>
  <sheetFormatPr defaultRowHeight="12.75" x14ac:dyDescent="0.2"/>
  <cols>
    <col min="1" max="1" width="13.28515625" bestFit="1" customWidth="1"/>
    <col min="2" max="2" width="24.42578125" customWidth="1"/>
    <col min="3" max="3" width="8.85546875" customWidth="1"/>
    <col min="4" max="4" width="9.7109375" customWidth="1"/>
    <col min="5" max="5" width="16.7109375" customWidth="1"/>
    <col min="6" max="6" width="20.7109375" customWidth="1"/>
    <col min="7" max="7" width="21.140625" bestFit="1" customWidth="1"/>
    <col min="8" max="12" width="9.7109375" customWidth="1"/>
    <col min="13" max="15" width="10.7109375" customWidth="1"/>
    <col min="16" max="16" width="30.5703125" bestFit="1" customWidth="1"/>
    <col min="17" max="17" width="20.7109375" customWidth="1"/>
  </cols>
  <sheetData>
    <row r="1" spans="1:16" ht="16.5" thickTop="1" thickBot="1" x14ac:dyDescent="0.25">
      <c r="A1" s="126" t="s">
        <v>483</v>
      </c>
      <c r="B1" s="127"/>
      <c r="C1" s="127"/>
      <c r="D1" s="128"/>
      <c r="E1" s="126" t="s">
        <v>484</v>
      </c>
      <c r="F1" s="127"/>
      <c r="G1" s="128"/>
      <c r="H1" s="126" t="s">
        <v>485</v>
      </c>
      <c r="I1" s="127"/>
      <c r="J1" s="127"/>
      <c r="K1" s="127"/>
      <c r="L1" s="128"/>
      <c r="M1" s="126" t="s">
        <v>486</v>
      </c>
      <c r="N1" s="127"/>
      <c r="O1" s="128"/>
      <c r="P1" s="129" t="s">
        <v>487</v>
      </c>
    </row>
    <row r="2" spans="1:16" ht="26.25" thickTop="1" x14ac:dyDescent="0.2">
      <c r="A2" s="120" t="s">
        <v>488</v>
      </c>
      <c r="B2" s="120" t="s">
        <v>489</v>
      </c>
      <c r="C2" s="120" t="s">
        <v>490</v>
      </c>
      <c r="D2" s="120" t="s">
        <v>502</v>
      </c>
      <c r="E2" s="120" t="s">
        <v>491</v>
      </c>
      <c r="F2" s="120" t="s">
        <v>492</v>
      </c>
      <c r="G2" s="120" t="s">
        <v>493</v>
      </c>
      <c r="H2" s="120" t="s">
        <v>9</v>
      </c>
      <c r="I2" s="120" t="s">
        <v>494</v>
      </c>
      <c r="J2" s="120" t="s">
        <v>495</v>
      </c>
      <c r="K2" s="120" t="s">
        <v>496</v>
      </c>
      <c r="L2" s="120" t="s">
        <v>497</v>
      </c>
      <c r="M2" s="120" t="s">
        <v>73</v>
      </c>
      <c r="N2" s="120" t="s">
        <v>498</v>
      </c>
      <c r="O2" s="120" t="s">
        <v>499</v>
      </c>
      <c r="P2" s="130"/>
    </row>
    <row r="3" spans="1:16" x14ac:dyDescent="0.2">
      <c r="A3" s="131" t="s">
        <v>519</v>
      </c>
      <c r="B3" s="131"/>
      <c r="C3" s="131"/>
      <c r="D3" s="131"/>
      <c r="E3" s="132" t="s">
        <v>520</v>
      </c>
      <c r="F3" s="132"/>
      <c r="G3" s="132"/>
      <c r="H3" s="132"/>
      <c r="I3" s="132"/>
      <c r="J3" s="132"/>
      <c r="K3" s="132"/>
      <c r="L3" s="132"/>
      <c r="M3" s="132"/>
      <c r="N3" s="132"/>
      <c r="O3" s="132"/>
      <c r="P3" s="132"/>
    </row>
    <row r="4" spans="1:16" x14ac:dyDescent="0.2">
      <c r="A4" s="87" t="str">
        <f t="shared" ref="A4:A7" si="0">$A$3</f>
        <v>Module1</v>
      </c>
      <c r="B4" s="87" t="s">
        <v>523</v>
      </c>
      <c r="C4" s="87">
        <v>0</v>
      </c>
      <c r="D4" s="87" t="s">
        <v>521</v>
      </c>
      <c r="E4" s="88" t="s">
        <v>512</v>
      </c>
      <c r="F4" s="88" t="s">
        <v>513</v>
      </c>
      <c r="G4" s="89" t="s">
        <v>513</v>
      </c>
      <c r="H4" s="88"/>
      <c r="I4" s="88"/>
      <c r="J4" s="88"/>
      <c r="K4" s="88"/>
      <c r="L4" s="88"/>
      <c r="M4" s="88"/>
      <c r="N4" s="88"/>
      <c r="O4" s="88"/>
      <c r="P4" s="89" t="str">
        <f t="shared" ref="P4:P6" ca="1" si="1">CONCATENATE(INDIRECT("A"&amp;ROW()),".",INDIRECT("B"&amp;ROW()))</f>
        <v>Module1.failureMode</v>
      </c>
    </row>
    <row r="5" spans="1:16" x14ac:dyDescent="0.2">
      <c r="A5" s="87" t="str">
        <f t="shared" si="0"/>
        <v>Module1</v>
      </c>
      <c r="B5" s="87" t="s">
        <v>524</v>
      </c>
      <c r="C5" s="87">
        <v>1</v>
      </c>
      <c r="D5" s="87" t="s">
        <v>521</v>
      </c>
      <c r="E5" s="88" t="s">
        <v>512</v>
      </c>
      <c r="F5" s="88" t="s">
        <v>514</v>
      </c>
      <c r="G5" s="89" t="s">
        <v>514</v>
      </c>
      <c r="H5" s="88"/>
      <c r="I5" s="88"/>
      <c r="J5" s="88"/>
      <c r="K5" s="88"/>
      <c r="L5" s="88"/>
      <c r="M5" s="88"/>
      <c r="N5" s="88"/>
      <c r="O5" s="88"/>
      <c r="P5" s="89" t="str">
        <f t="shared" ca="1" si="1"/>
        <v>Module1.pulseWidth</v>
      </c>
    </row>
    <row r="6" spans="1:16" x14ac:dyDescent="0.2">
      <c r="A6" s="87" t="str">
        <f t="shared" si="0"/>
        <v>Module1</v>
      </c>
      <c r="B6" s="87" t="s">
        <v>525</v>
      </c>
      <c r="C6" s="87">
        <v>200</v>
      </c>
      <c r="D6" s="87" t="s">
        <v>521</v>
      </c>
      <c r="E6" s="88" t="s">
        <v>512</v>
      </c>
      <c r="F6" s="88" t="s">
        <v>515</v>
      </c>
      <c r="G6" s="89" t="s">
        <v>515</v>
      </c>
      <c r="H6" s="88"/>
      <c r="I6" s="88"/>
      <c r="J6" s="88"/>
      <c r="K6" s="88"/>
      <c r="L6" s="88"/>
      <c r="M6" s="88"/>
      <c r="N6" s="88"/>
      <c r="O6" s="88"/>
      <c r="P6" s="89" t="str">
        <f t="shared" ca="1" si="1"/>
        <v>Module1.pulseCount</v>
      </c>
    </row>
    <row r="7" spans="1:16" x14ac:dyDescent="0.2">
      <c r="A7" s="87" t="str">
        <f t="shared" si="0"/>
        <v>Module1</v>
      </c>
      <c r="B7" s="87" t="s">
        <v>581</v>
      </c>
      <c r="C7" s="87">
        <v>1023</v>
      </c>
      <c r="D7" s="87" t="s">
        <v>521</v>
      </c>
      <c r="E7" s="88" t="s">
        <v>512</v>
      </c>
      <c r="F7" s="88" t="s">
        <v>579</v>
      </c>
      <c r="G7" s="89" t="s">
        <v>580</v>
      </c>
      <c r="H7" s="88"/>
      <c r="I7" s="88"/>
      <c r="J7" s="88"/>
      <c r="K7" s="88"/>
      <c r="L7" s="88"/>
      <c r="M7" s="88"/>
      <c r="N7" s="88"/>
      <c r="O7" s="88"/>
      <c r="P7" s="89" t="str">
        <f ca="1">CONCATENATE(INDIRECT("A"&amp;ROW()),".",INDIRECT("B"&amp;ROW()))</f>
        <v>Module1.pulsesPerRevolution</v>
      </c>
    </row>
    <row r="8" spans="1:16" x14ac:dyDescent="0.2">
      <c r="A8" s="131" t="s">
        <v>522</v>
      </c>
      <c r="B8" s="131"/>
      <c r="C8" s="131"/>
      <c r="D8" s="131"/>
      <c r="E8" s="132" t="s">
        <v>520</v>
      </c>
      <c r="F8" s="133"/>
      <c r="G8" s="132"/>
      <c r="H8" s="132"/>
      <c r="I8" s="132"/>
      <c r="J8" s="132"/>
      <c r="K8" s="132"/>
      <c r="L8" s="132"/>
      <c r="M8" s="132"/>
      <c r="N8" s="132"/>
      <c r="O8" s="132"/>
      <c r="P8" s="132"/>
    </row>
    <row r="9" spans="1:16" x14ac:dyDescent="0.2">
      <c r="A9" s="87" t="str">
        <f t="shared" ref="A9:A12" si="2">$A$8</f>
        <v>Module2</v>
      </c>
      <c r="B9" s="87" t="s">
        <v>523</v>
      </c>
      <c r="C9" s="87">
        <v>0</v>
      </c>
      <c r="D9" s="87" t="s">
        <v>521</v>
      </c>
      <c r="E9" s="88" t="s">
        <v>516</v>
      </c>
      <c r="F9" s="88" t="s">
        <v>513</v>
      </c>
      <c r="G9" s="89" t="s">
        <v>513</v>
      </c>
      <c r="H9" s="88"/>
      <c r="I9" s="88"/>
      <c r="J9" s="88"/>
      <c r="K9" s="88"/>
      <c r="L9" s="88"/>
      <c r="M9" s="88"/>
      <c r="N9" s="88"/>
      <c r="O9" s="88"/>
      <c r="P9" s="89" t="str">
        <f t="shared" ref="P9:P11" ca="1" si="3">CONCATENATE(INDIRECT("A"&amp;ROW()),".",INDIRECT("B"&amp;ROW()))</f>
        <v>Module2.failureMode</v>
      </c>
    </row>
    <row r="10" spans="1:16" x14ac:dyDescent="0.2">
      <c r="A10" s="87" t="str">
        <f t="shared" si="2"/>
        <v>Module2</v>
      </c>
      <c r="B10" s="87" t="s">
        <v>524</v>
      </c>
      <c r="C10" s="87">
        <v>2</v>
      </c>
      <c r="D10" s="87" t="s">
        <v>521</v>
      </c>
      <c r="E10" s="88" t="s">
        <v>516</v>
      </c>
      <c r="F10" s="88" t="s">
        <v>514</v>
      </c>
      <c r="G10" s="89" t="s">
        <v>514</v>
      </c>
      <c r="H10" s="88"/>
      <c r="I10" s="88"/>
      <c r="J10" s="88"/>
      <c r="K10" s="88"/>
      <c r="L10" s="88"/>
      <c r="M10" s="88"/>
      <c r="N10" s="88"/>
      <c r="O10" s="88"/>
      <c r="P10" s="89" t="str">
        <f t="shared" ca="1" si="3"/>
        <v>Module2.pulseWidth</v>
      </c>
    </row>
    <row r="11" spans="1:16" x14ac:dyDescent="0.2">
      <c r="A11" s="87" t="str">
        <f t="shared" si="2"/>
        <v>Module2</v>
      </c>
      <c r="B11" s="87" t="s">
        <v>525</v>
      </c>
      <c r="C11" s="87">
        <v>200</v>
      </c>
      <c r="D11" s="87" t="s">
        <v>521</v>
      </c>
      <c r="E11" s="88" t="s">
        <v>516</v>
      </c>
      <c r="F11" s="88" t="s">
        <v>515</v>
      </c>
      <c r="G11" s="89" t="s">
        <v>515</v>
      </c>
      <c r="H11" s="88"/>
      <c r="I11" s="88"/>
      <c r="J11" s="88"/>
      <c r="K11" s="88"/>
      <c r="L11" s="88"/>
      <c r="M11" s="88"/>
      <c r="N11" s="88"/>
      <c r="O11" s="88"/>
      <c r="P11" s="89" t="str">
        <f t="shared" ca="1" si="3"/>
        <v>Module2.pulseCount</v>
      </c>
    </row>
    <row r="12" spans="1:16" x14ac:dyDescent="0.2">
      <c r="A12" s="87" t="str">
        <f t="shared" si="2"/>
        <v>Module2</v>
      </c>
      <c r="B12" s="87" t="s">
        <v>581</v>
      </c>
      <c r="C12" s="87">
        <v>1023</v>
      </c>
      <c r="D12" s="87" t="s">
        <v>521</v>
      </c>
      <c r="E12" s="88" t="s">
        <v>516</v>
      </c>
      <c r="F12" s="88" t="s">
        <v>579</v>
      </c>
      <c r="G12" s="89" t="s">
        <v>580</v>
      </c>
      <c r="H12" s="88"/>
      <c r="I12" s="88"/>
      <c r="J12" s="88"/>
      <c r="K12" s="88"/>
      <c r="L12" s="88"/>
      <c r="M12" s="88"/>
      <c r="N12" s="88"/>
      <c r="O12" s="88"/>
      <c r="P12" s="89" t="str">
        <f ca="1">CONCATENATE(INDIRECT("A"&amp;ROW()),".",INDIRECT("B"&amp;ROW()))</f>
        <v>Module2.pulsesPerRevolution</v>
      </c>
    </row>
    <row r="13" spans="1:16" x14ac:dyDescent="0.2">
      <c r="A13" s="131" t="s">
        <v>609</v>
      </c>
      <c r="B13" s="131"/>
      <c r="C13" s="131"/>
      <c r="D13" s="131"/>
      <c r="E13" s="132" t="s">
        <v>520</v>
      </c>
      <c r="F13" s="132"/>
      <c r="G13" s="132"/>
      <c r="H13" s="132"/>
      <c r="I13" s="132"/>
      <c r="J13" s="132"/>
      <c r="K13" s="132"/>
      <c r="L13" s="132"/>
      <c r="M13" s="132"/>
      <c r="N13" s="132"/>
      <c r="O13" s="132"/>
      <c r="P13" s="132"/>
    </row>
    <row r="14" spans="1:16" x14ac:dyDescent="0.2">
      <c r="A14" s="87" t="str">
        <f t="shared" ref="A14:A17" si="4">$A$13</f>
        <v>Module0</v>
      </c>
      <c r="B14" s="87" t="s">
        <v>523</v>
      </c>
      <c r="C14" s="87">
        <v>0</v>
      </c>
      <c r="D14" s="87" t="s">
        <v>521</v>
      </c>
      <c r="E14" s="88" t="s">
        <v>608</v>
      </c>
      <c r="F14" s="88" t="s">
        <v>513</v>
      </c>
      <c r="G14" s="89" t="s">
        <v>513</v>
      </c>
      <c r="H14" s="88"/>
      <c r="I14" s="88"/>
      <c r="J14" s="88"/>
      <c r="K14" s="88"/>
      <c r="L14" s="88"/>
      <c r="M14" s="88"/>
      <c r="N14" s="88"/>
      <c r="O14" s="88"/>
      <c r="P14" s="89" t="str">
        <f t="shared" ref="P14:P17" ca="1" si="5">CONCATENATE(INDIRECT("A"&amp;ROW()),".",INDIRECT("B"&amp;ROW()))</f>
        <v>Module0.failureMode</v>
      </c>
    </row>
    <row r="15" spans="1:16" x14ac:dyDescent="0.2">
      <c r="A15" s="87" t="str">
        <f t="shared" si="4"/>
        <v>Module0</v>
      </c>
      <c r="B15" s="87" t="s">
        <v>524</v>
      </c>
      <c r="C15" s="87">
        <v>4</v>
      </c>
      <c r="D15" s="87" t="s">
        <v>521</v>
      </c>
      <c r="E15" s="88" t="s">
        <v>608</v>
      </c>
      <c r="F15" s="88" t="s">
        <v>514</v>
      </c>
      <c r="G15" s="89" t="s">
        <v>514</v>
      </c>
      <c r="H15" s="88"/>
      <c r="I15" s="88"/>
      <c r="J15" s="88"/>
      <c r="K15" s="88"/>
      <c r="L15" s="88"/>
      <c r="M15" s="88"/>
      <c r="N15" s="88"/>
      <c r="O15" s="88"/>
      <c r="P15" s="89" t="str">
        <f t="shared" ca="1" si="5"/>
        <v>Module0.pulseWidth</v>
      </c>
    </row>
    <row r="16" spans="1:16" x14ac:dyDescent="0.2">
      <c r="A16" s="87" t="str">
        <f t="shared" si="4"/>
        <v>Module0</v>
      </c>
      <c r="B16" s="87" t="s">
        <v>525</v>
      </c>
      <c r="C16" s="87">
        <v>200</v>
      </c>
      <c r="D16" s="87" t="s">
        <v>521</v>
      </c>
      <c r="E16" s="88" t="s">
        <v>608</v>
      </c>
      <c r="F16" s="88" t="s">
        <v>515</v>
      </c>
      <c r="G16" s="89" t="s">
        <v>515</v>
      </c>
      <c r="H16" s="88"/>
      <c r="I16" s="88"/>
      <c r="J16" s="88"/>
      <c r="K16" s="88"/>
      <c r="L16" s="88"/>
      <c r="M16" s="88"/>
      <c r="N16" s="88"/>
      <c r="O16" s="88"/>
      <c r="P16" s="89" t="str">
        <f t="shared" ca="1" si="5"/>
        <v>Module0.pulseCount</v>
      </c>
    </row>
    <row r="17" spans="1:16" x14ac:dyDescent="0.2">
      <c r="A17" s="87" t="str">
        <f t="shared" si="4"/>
        <v>Module0</v>
      </c>
      <c r="B17" s="87" t="s">
        <v>581</v>
      </c>
      <c r="C17" s="87">
        <v>1023</v>
      </c>
      <c r="D17" s="87" t="s">
        <v>521</v>
      </c>
      <c r="E17" s="88" t="s">
        <v>608</v>
      </c>
      <c r="F17" s="88" t="s">
        <v>579</v>
      </c>
      <c r="G17" s="89" t="s">
        <v>580</v>
      </c>
      <c r="H17" s="88"/>
      <c r="I17" s="88"/>
      <c r="J17" s="88"/>
      <c r="K17" s="88"/>
      <c r="L17" s="88"/>
      <c r="M17" s="88"/>
      <c r="N17" s="88"/>
      <c r="O17" s="88"/>
      <c r="P17" s="89" t="str">
        <f t="shared" ca="1" si="5"/>
        <v>Module0.pulsesPerRevolution</v>
      </c>
    </row>
    <row r="18" spans="1:16" x14ac:dyDescent="0.2">
      <c r="A18" s="131" t="s">
        <v>633</v>
      </c>
      <c r="B18" s="131"/>
      <c r="C18" s="131"/>
      <c r="D18" s="131"/>
      <c r="E18" s="132" t="s">
        <v>520</v>
      </c>
      <c r="F18" s="132"/>
      <c r="G18" s="132"/>
      <c r="H18" s="132"/>
      <c r="I18" s="132"/>
      <c r="J18" s="132"/>
      <c r="K18" s="132"/>
      <c r="L18" s="132"/>
      <c r="M18" s="132"/>
      <c r="N18" s="132"/>
      <c r="O18" s="132"/>
      <c r="P18" s="132"/>
    </row>
    <row r="19" spans="1:16" x14ac:dyDescent="0.2">
      <c r="A19" s="87" t="str">
        <f t="shared" ref="A19:A38" si="6">$A$18</f>
        <v>ModuleSettings</v>
      </c>
      <c r="B19" s="87" t="s">
        <v>637</v>
      </c>
      <c r="C19" s="87">
        <v>0</v>
      </c>
      <c r="D19" s="87" t="s">
        <v>521</v>
      </c>
      <c r="E19" s="88" t="s">
        <v>604</v>
      </c>
      <c r="F19" s="159" t="s">
        <v>637</v>
      </c>
      <c r="G19" s="89"/>
      <c r="H19" s="88"/>
      <c r="I19" s="88"/>
      <c r="J19" s="88"/>
      <c r="K19" s="88"/>
      <c r="L19" s="88"/>
      <c r="M19" s="88"/>
      <c r="N19" s="88"/>
      <c r="O19" s="88"/>
      <c r="P19" s="89" t="str">
        <f t="shared" ref="P19:P28" ca="1" si="7">CONCATENATE(INDIRECT("A"&amp;ROW()),".",INDIRECT("B"&amp;ROW()))</f>
        <v>ModuleSettings.DisableEnc0</v>
      </c>
    </row>
    <row r="20" spans="1:16" x14ac:dyDescent="0.2">
      <c r="A20" s="87" t="str">
        <f t="shared" si="6"/>
        <v>ModuleSettings</v>
      </c>
      <c r="B20" s="87" t="s">
        <v>638</v>
      </c>
      <c r="C20" s="87">
        <v>0</v>
      </c>
      <c r="D20" s="87" t="s">
        <v>521</v>
      </c>
      <c r="E20" s="88" t="s">
        <v>604</v>
      </c>
      <c r="F20" s="159" t="s">
        <v>638</v>
      </c>
      <c r="G20" s="89"/>
      <c r="H20" s="88"/>
      <c r="I20" s="88"/>
      <c r="J20" s="88"/>
      <c r="K20" s="88"/>
      <c r="L20" s="88"/>
      <c r="M20" s="88"/>
      <c r="N20" s="88"/>
      <c r="O20" s="88"/>
      <c r="P20" s="89" t="str">
        <f t="shared" ca="1" si="7"/>
        <v>ModuleSettings.DisableEnc1</v>
      </c>
    </row>
    <row r="21" spans="1:16" x14ac:dyDescent="0.2">
      <c r="A21" s="87" t="str">
        <f t="shared" si="6"/>
        <v>ModuleSettings</v>
      </c>
      <c r="B21" s="87" t="s">
        <v>639</v>
      </c>
      <c r="C21" s="87">
        <v>0</v>
      </c>
      <c r="D21" s="87" t="s">
        <v>521</v>
      </c>
      <c r="E21" s="88" t="s">
        <v>604</v>
      </c>
      <c r="F21" s="159" t="s">
        <v>639</v>
      </c>
      <c r="G21" s="89"/>
      <c r="H21" s="88"/>
      <c r="I21" s="88"/>
      <c r="J21" s="88"/>
      <c r="K21" s="88"/>
      <c r="L21" s="88"/>
      <c r="M21" s="88"/>
      <c r="N21" s="88"/>
      <c r="O21" s="88"/>
      <c r="P21" s="89" t="str">
        <f t="shared" ca="1" si="7"/>
        <v>ModuleSettings.DisableEnc2</v>
      </c>
    </row>
    <row r="22" spans="1:16" x14ac:dyDescent="0.2">
      <c r="A22" s="87" t="str">
        <f t="shared" si="6"/>
        <v>ModuleSettings</v>
      </c>
      <c r="B22" s="87" t="s">
        <v>640</v>
      </c>
      <c r="C22" s="87">
        <v>0</v>
      </c>
      <c r="D22" s="87" t="s">
        <v>521</v>
      </c>
      <c r="E22" s="88" t="s">
        <v>604</v>
      </c>
      <c r="F22" s="159" t="s">
        <v>640</v>
      </c>
      <c r="G22" s="89"/>
      <c r="H22" s="88"/>
      <c r="I22" s="88"/>
      <c r="J22" s="88"/>
      <c r="K22" s="88"/>
      <c r="L22" s="88"/>
      <c r="M22" s="88"/>
      <c r="N22" s="88"/>
      <c r="O22" s="88"/>
      <c r="P22" s="89" t="str">
        <f t="shared" ca="1" si="7"/>
        <v>ModuleSettings.DisableEnc3</v>
      </c>
    </row>
    <row r="23" spans="1:16" x14ac:dyDescent="0.2">
      <c r="A23" s="87" t="str">
        <f t="shared" si="6"/>
        <v>ModuleSettings</v>
      </c>
      <c r="B23" s="87" t="s">
        <v>684</v>
      </c>
      <c r="C23" s="87">
        <v>0</v>
      </c>
      <c r="D23" s="87" t="s">
        <v>521</v>
      </c>
      <c r="E23" s="88" t="s">
        <v>604</v>
      </c>
      <c r="F23" s="159" t="s">
        <v>684</v>
      </c>
      <c r="G23" s="89"/>
      <c r="H23" s="88"/>
      <c r="I23" s="88"/>
      <c r="J23" s="88"/>
      <c r="K23" s="88"/>
      <c r="L23" s="88"/>
      <c r="M23" s="88"/>
      <c r="N23" s="88"/>
      <c r="O23" s="88"/>
      <c r="P23" s="89" t="str">
        <f t="shared" ca="1" si="7"/>
        <v>ModuleSettings.DisableEnc4</v>
      </c>
    </row>
    <row r="24" spans="1:16" x14ac:dyDescent="0.2">
      <c r="A24" s="87" t="str">
        <f t="shared" si="6"/>
        <v>ModuleSettings</v>
      </c>
      <c r="B24" s="87" t="s">
        <v>685</v>
      </c>
      <c r="C24" s="87">
        <v>0</v>
      </c>
      <c r="D24" s="87" t="s">
        <v>521</v>
      </c>
      <c r="E24" s="88" t="s">
        <v>604</v>
      </c>
      <c r="F24" s="159" t="s">
        <v>685</v>
      </c>
      <c r="G24" s="89"/>
      <c r="H24" s="88"/>
      <c r="I24" s="88"/>
      <c r="J24" s="88"/>
      <c r="K24" s="88"/>
      <c r="L24" s="88"/>
      <c r="M24" s="88"/>
      <c r="N24" s="88"/>
      <c r="O24" s="88"/>
      <c r="P24" s="89" t="str">
        <f t="shared" ca="1" si="7"/>
        <v>ModuleSettings.DisableEnc5</v>
      </c>
    </row>
    <row r="25" spans="1:16" x14ac:dyDescent="0.2">
      <c r="A25" s="87" t="str">
        <f t="shared" si="6"/>
        <v>ModuleSettings</v>
      </c>
      <c r="B25" s="87" t="s">
        <v>686</v>
      </c>
      <c r="C25" s="87">
        <v>0</v>
      </c>
      <c r="D25" s="87" t="s">
        <v>521</v>
      </c>
      <c r="E25" s="88" t="s">
        <v>604</v>
      </c>
      <c r="F25" s="159" t="s">
        <v>686</v>
      </c>
      <c r="G25" s="89"/>
      <c r="H25" s="88"/>
      <c r="I25" s="88"/>
      <c r="J25" s="88"/>
      <c r="K25" s="88"/>
      <c r="L25" s="88"/>
      <c r="M25" s="88"/>
      <c r="N25" s="88"/>
      <c r="O25" s="88"/>
      <c r="P25" s="89" t="str">
        <f t="shared" ca="1" si="7"/>
        <v>ModuleSettings.DisableEnc6</v>
      </c>
    </row>
    <row r="26" spans="1:16" x14ac:dyDescent="0.2">
      <c r="A26" s="87" t="str">
        <f t="shared" si="6"/>
        <v>ModuleSettings</v>
      </c>
      <c r="B26" s="87" t="s">
        <v>687</v>
      </c>
      <c r="C26" s="87">
        <v>0</v>
      </c>
      <c r="D26" s="87" t="s">
        <v>521</v>
      </c>
      <c r="E26" s="88" t="s">
        <v>604</v>
      </c>
      <c r="F26" s="159" t="s">
        <v>687</v>
      </c>
      <c r="G26" s="89"/>
      <c r="H26" s="88"/>
      <c r="I26" s="88"/>
      <c r="J26" s="88"/>
      <c r="K26" s="88"/>
      <c r="L26" s="88"/>
      <c r="M26" s="88"/>
      <c r="N26" s="88"/>
      <c r="O26" s="88"/>
      <c r="P26" s="89" t="str">
        <f t="shared" ca="1" si="7"/>
        <v>ModuleSettings.DisableEnc7</v>
      </c>
    </row>
    <row r="27" spans="1:16" x14ac:dyDescent="0.2">
      <c r="A27" s="87" t="str">
        <f t="shared" si="6"/>
        <v>ModuleSettings</v>
      </c>
      <c r="B27" s="87" t="s">
        <v>688</v>
      </c>
      <c r="C27" s="87">
        <v>0</v>
      </c>
      <c r="D27" s="87" t="s">
        <v>521</v>
      </c>
      <c r="E27" s="88" t="s">
        <v>604</v>
      </c>
      <c r="F27" s="159" t="s">
        <v>688</v>
      </c>
      <c r="G27" s="89"/>
      <c r="H27" s="88"/>
      <c r="I27" s="88"/>
      <c r="J27" s="88"/>
      <c r="K27" s="88"/>
      <c r="L27" s="88"/>
      <c r="M27" s="88"/>
      <c r="N27" s="88"/>
      <c r="O27" s="88"/>
      <c r="P27" s="89" t="str">
        <f t="shared" ca="1" si="7"/>
        <v>ModuleSettings.DisableEnc8</v>
      </c>
    </row>
    <row r="28" spans="1:16" x14ac:dyDescent="0.2">
      <c r="A28" s="87" t="str">
        <f t="shared" si="6"/>
        <v>ModuleSettings</v>
      </c>
      <c r="B28" s="87" t="s">
        <v>689</v>
      </c>
      <c r="C28" s="87">
        <v>0</v>
      </c>
      <c r="D28" s="87" t="s">
        <v>521</v>
      </c>
      <c r="E28" s="88" t="s">
        <v>604</v>
      </c>
      <c r="F28" s="159" t="s">
        <v>689</v>
      </c>
      <c r="G28" s="89"/>
      <c r="H28" s="88"/>
      <c r="I28" s="88"/>
      <c r="J28" s="88"/>
      <c r="K28" s="88"/>
      <c r="L28" s="88"/>
      <c r="M28" s="88"/>
      <c r="N28" s="88"/>
      <c r="O28" s="88"/>
      <c r="P28" s="89" t="str">
        <f t="shared" ca="1" si="7"/>
        <v>ModuleSettings.DisableEnc9</v>
      </c>
    </row>
    <row r="29" spans="1:16" x14ac:dyDescent="0.2">
      <c r="A29" s="87" t="str">
        <f t="shared" si="6"/>
        <v>ModuleSettings</v>
      </c>
      <c r="B29" s="87" t="s">
        <v>738</v>
      </c>
      <c r="C29" s="87">
        <v>0</v>
      </c>
      <c r="D29" s="87" t="s">
        <v>521</v>
      </c>
      <c r="E29" s="88" t="s">
        <v>604</v>
      </c>
      <c r="F29" s="159" t="s">
        <v>738</v>
      </c>
      <c r="G29" s="89"/>
      <c r="H29" s="88"/>
      <c r="I29" s="88"/>
      <c r="J29" s="88"/>
      <c r="K29" s="88"/>
      <c r="L29" s="88"/>
      <c r="M29" s="88"/>
      <c r="N29" s="88"/>
      <c r="O29" s="88"/>
      <c r="P29" s="89" t="str">
        <f t="shared" ref="P29:P37" ca="1" si="8">CONCATENATE(INDIRECT("A"&amp;ROW()),".",INDIRECT("B"&amp;ROW()))</f>
        <v>ModuleSettings.DisableEncA</v>
      </c>
    </row>
    <row r="30" spans="1:16" x14ac:dyDescent="0.2">
      <c r="A30" s="87" t="str">
        <f t="shared" si="6"/>
        <v>ModuleSettings</v>
      </c>
      <c r="B30" s="87" t="s">
        <v>739</v>
      </c>
      <c r="C30" s="87">
        <v>0</v>
      </c>
      <c r="D30" s="87" t="s">
        <v>521</v>
      </c>
      <c r="E30" s="88" t="s">
        <v>604</v>
      </c>
      <c r="F30" s="159" t="s">
        <v>739</v>
      </c>
      <c r="G30" s="89"/>
      <c r="H30" s="88"/>
      <c r="I30" s="88"/>
      <c r="J30" s="88"/>
      <c r="K30" s="88"/>
      <c r="L30" s="88"/>
      <c r="M30" s="88"/>
      <c r="N30" s="88"/>
      <c r="O30" s="88"/>
      <c r="P30" s="89" t="str">
        <f t="shared" ca="1" si="8"/>
        <v>ModuleSettings.DisableEncB</v>
      </c>
    </row>
    <row r="31" spans="1:16" x14ac:dyDescent="0.2">
      <c r="A31" s="87" t="str">
        <f t="shared" si="6"/>
        <v>ModuleSettings</v>
      </c>
      <c r="B31" s="87" t="s">
        <v>740</v>
      </c>
      <c r="C31" s="87">
        <v>0</v>
      </c>
      <c r="D31" s="87" t="s">
        <v>521</v>
      </c>
      <c r="E31" s="88" t="s">
        <v>604</v>
      </c>
      <c r="F31" s="88" t="s">
        <v>690</v>
      </c>
      <c r="G31" s="89" t="s">
        <v>697</v>
      </c>
      <c r="H31" s="88"/>
      <c r="I31" s="88"/>
      <c r="J31" s="88"/>
      <c r="K31" s="88"/>
      <c r="L31" s="88"/>
      <c r="M31" s="88"/>
      <c r="N31" s="88"/>
      <c r="O31" s="88"/>
      <c r="P31" s="89" t="str">
        <f t="shared" ca="1" si="8"/>
        <v>ModuleSettings.DisableEncGrp0ChZ</v>
      </c>
    </row>
    <row r="32" spans="1:16" x14ac:dyDescent="0.2">
      <c r="A32" s="87" t="str">
        <f t="shared" si="6"/>
        <v>ModuleSettings</v>
      </c>
      <c r="B32" s="87" t="s">
        <v>741</v>
      </c>
      <c r="C32" s="87">
        <v>0</v>
      </c>
      <c r="D32" s="87" t="s">
        <v>521</v>
      </c>
      <c r="E32" s="88" t="s">
        <v>604</v>
      </c>
      <c r="F32" s="88" t="s">
        <v>691</v>
      </c>
      <c r="G32" s="89" t="s">
        <v>696</v>
      </c>
      <c r="H32" s="88"/>
      <c r="I32" s="88"/>
      <c r="J32" s="88"/>
      <c r="K32" s="88"/>
      <c r="L32" s="88"/>
      <c r="M32" s="88"/>
      <c r="N32" s="88"/>
      <c r="O32" s="88"/>
      <c r="P32" s="89" t="str">
        <f t="shared" ca="1" si="8"/>
        <v>ModuleSettings.DisableEncGrp1ChZ</v>
      </c>
    </row>
    <row r="33" spans="1:16" x14ac:dyDescent="0.2">
      <c r="A33" s="87" t="str">
        <f t="shared" si="6"/>
        <v>ModuleSettings</v>
      </c>
      <c r="B33" s="87" t="s">
        <v>742</v>
      </c>
      <c r="C33" s="87">
        <v>0</v>
      </c>
      <c r="D33" s="87" t="s">
        <v>521</v>
      </c>
      <c r="E33" s="88" t="s">
        <v>604</v>
      </c>
      <c r="F33" s="88" t="s">
        <v>692</v>
      </c>
      <c r="G33" s="89" t="s">
        <v>695</v>
      </c>
      <c r="H33" s="88"/>
      <c r="I33" s="88"/>
      <c r="J33" s="88"/>
      <c r="K33" s="88"/>
      <c r="L33" s="88"/>
      <c r="M33" s="88"/>
      <c r="N33" s="88"/>
      <c r="O33" s="88"/>
      <c r="P33" s="89" t="str">
        <f t="shared" ca="1" si="8"/>
        <v>ModuleSettings.DisableEncGrp2ChZ</v>
      </c>
    </row>
    <row r="34" spans="1:16" x14ac:dyDescent="0.2">
      <c r="A34" s="87" t="str">
        <f t="shared" si="6"/>
        <v>ModuleSettings</v>
      </c>
      <c r="B34" s="87" t="s">
        <v>693</v>
      </c>
      <c r="C34" s="87">
        <v>0</v>
      </c>
      <c r="D34" s="87" t="s">
        <v>521</v>
      </c>
      <c r="E34" s="88" t="s">
        <v>604</v>
      </c>
      <c r="F34" s="88" t="s">
        <v>693</v>
      </c>
      <c r="G34" s="89" t="s">
        <v>694</v>
      </c>
      <c r="H34" s="88"/>
      <c r="I34" s="88"/>
      <c r="J34" s="88"/>
      <c r="K34" s="88"/>
      <c r="L34" s="88"/>
      <c r="M34" s="88"/>
      <c r="N34" s="88"/>
      <c r="O34" s="88"/>
      <c r="P34" s="89" t="str">
        <f t="shared" ca="1" si="8"/>
        <v>ModuleSettings.DisableEncAllChZ</v>
      </c>
    </row>
    <row r="35" spans="1:16" x14ac:dyDescent="0.2">
      <c r="A35" s="87" t="str">
        <f t="shared" si="6"/>
        <v>ModuleSettings</v>
      </c>
      <c r="B35" s="87"/>
      <c r="C35" s="87"/>
      <c r="D35" s="87" t="s">
        <v>521</v>
      </c>
      <c r="E35" s="88"/>
      <c r="F35" s="88"/>
      <c r="G35" s="89"/>
      <c r="H35" s="88"/>
      <c r="I35" s="88"/>
      <c r="J35" s="88"/>
      <c r="K35" s="88"/>
      <c r="L35" s="88"/>
      <c r="M35" s="88"/>
      <c r="N35" s="88"/>
      <c r="O35" s="88"/>
      <c r="P35" s="89" t="str">
        <f t="shared" ca="1" si="8"/>
        <v>ModuleSettings.</v>
      </c>
    </row>
    <row r="36" spans="1:16" x14ac:dyDescent="0.2">
      <c r="A36" s="87" t="str">
        <f t="shared" si="6"/>
        <v>ModuleSettings</v>
      </c>
      <c r="B36" s="87" t="s">
        <v>605</v>
      </c>
      <c r="C36" s="87">
        <v>0</v>
      </c>
      <c r="D36" s="87" t="s">
        <v>521</v>
      </c>
      <c r="E36" s="88" t="s">
        <v>604</v>
      </c>
      <c r="F36" s="159" t="s">
        <v>605</v>
      </c>
      <c r="G36" s="89" t="s">
        <v>605</v>
      </c>
      <c r="H36" s="88"/>
      <c r="I36" s="88"/>
      <c r="J36" s="88"/>
      <c r="K36" s="88"/>
      <c r="L36" s="88"/>
      <c r="M36" s="88"/>
      <c r="N36" s="88"/>
      <c r="O36" s="88"/>
      <c r="P36" s="89" t="str">
        <f t="shared" ca="1" si="8"/>
        <v>ModuleSettings.GeneralSettings</v>
      </c>
    </row>
    <row r="37" spans="1:16" x14ac:dyDescent="0.2">
      <c r="A37" s="87" t="str">
        <f t="shared" si="6"/>
        <v>ModuleSettings</v>
      </c>
      <c r="B37" s="87" t="s">
        <v>606</v>
      </c>
      <c r="C37" s="87">
        <v>0</v>
      </c>
      <c r="D37" s="87" t="s">
        <v>521</v>
      </c>
      <c r="E37" s="88" t="s">
        <v>604</v>
      </c>
      <c r="F37" s="159" t="s">
        <v>606</v>
      </c>
      <c r="G37" s="89" t="s">
        <v>606</v>
      </c>
      <c r="H37" s="88"/>
      <c r="I37" s="88"/>
      <c r="J37" s="88"/>
      <c r="K37" s="88"/>
      <c r="L37" s="88"/>
      <c r="M37" s="88"/>
      <c r="N37" s="88"/>
      <c r="O37" s="88"/>
      <c r="P37" s="89" t="str">
        <f t="shared" ca="1" si="8"/>
        <v>ModuleSettings.Reserved1</v>
      </c>
    </row>
    <row r="38" spans="1:16" x14ac:dyDescent="0.2">
      <c r="A38" s="87" t="str">
        <f t="shared" si="6"/>
        <v>ModuleSettings</v>
      </c>
      <c r="B38" s="87" t="s">
        <v>607</v>
      </c>
      <c r="C38" s="87">
        <v>0</v>
      </c>
      <c r="D38" s="87" t="s">
        <v>521</v>
      </c>
      <c r="E38" s="88" t="s">
        <v>604</v>
      </c>
      <c r="F38" s="159" t="s">
        <v>607</v>
      </c>
      <c r="G38" s="89" t="s">
        <v>607</v>
      </c>
      <c r="H38" s="88"/>
      <c r="I38" s="88"/>
      <c r="J38" s="88"/>
      <c r="K38" s="88"/>
      <c r="L38" s="88"/>
      <c r="M38" s="88"/>
      <c r="N38" s="88"/>
      <c r="O38" s="88"/>
      <c r="P38" s="89" t="str">
        <f t="shared" ref="P38" ca="1" si="9">CONCATENATE(INDIRECT("A"&amp;ROW()),".",INDIRECT("B"&amp;ROW()))</f>
        <v>ModuleSettings.Reserved2</v>
      </c>
    </row>
  </sheetData>
  <dataConsolidate/>
  <mergeCells count="13">
    <mergeCell ref="A3:D3"/>
    <mergeCell ref="E3:P3"/>
    <mergeCell ref="A1:D1"/>
    <mergeCell ref="E1:G1"/>
    <mergeCell ref="H1:L1"/>
    <mergeCell ref="M1:O1"/>
    <mergeCell ref="P1:P2"/>
    <mergeCell ref="A13:D13"/>
    <mergeCell ref="E13:P13"/>
    <mergeCell ref="A18:D18"/>
    <mergeCell ref="E18:P18"/>
    <mergeCell ref="A8:D8"/>
    <mergeCell ref="E8:P8"/>
  </mergeCells>
  <dataValidations count="3">
    <dataValidation type="list" allowBlank="1" showErrorMessage="1" errorTitle="Value not found." error="Only values that can be chosen from the drop-down-list are allowed!" sqref="H3:H38">
      <formula1>"Scale,NoScale,Invert"</formula1>
    </dataValidation>
    <dataValidation type="list" allowBlank="1" showErrorMessage="1" errorTitle="Value not found." error="Only values that can be chosen from the drop-down-list are allowed!" sqref="M3:M38">
      <formula1>"True,False"</formula1>
    </dataValidation>
    <dataValidation type="list" allowBlank="1" showErrorMessage="1" errorTitle="Value not found." error="Only values that can be chosen from the drop-down-list are allowed!" sqref="D3:D38">
      <formula1>"Input,Output"</formula1>
    </dataValidation>
  </dataValidations>
  <pageMargins left="0.23622047244094491" right="0.23622047244094491" top="0.74803149606299213" bottom="0.74803149606299213" header="0.31496062992125984" footer="0.31496062992125984"/>
  <pageSetup paperSize="9" scale="64" orientation="landscape"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ErrorMessage="1" errorTitle="Value not found." error="Only values that can be chosen from the drop-down-list are allowed!">
          <x14:formula1>
            <xm:f>ProgramStorage!$B$5:$B$8</xm:f>
          </x14:formula1>
          <xm:sqref>F9:F12</xm:sqref>
        </x14:dataValidation>
        <x14:dataValidation type="list" allowBlank="1" showErrorMessage="1" errorTitle="Value not found." error="Only values that can be chosen from the drop-down-list are allowed!">
          <x14:formula1>
            <xm:f>ProgramStorage!$B$1:$B$4</xm:f>
          </x14:formula1>
          <xm:sqref>F4:F7 F14:F17</xm:sqref>
        </x14:dataValidation>
        <x14:dataValidation type="list" allowBlank="1" showErrorMessage="1" errorTitle="Value not found." error="Only values that can be chosen from the drop-down-list are allowed!">
          <x14:formula1>
            <xm:f>ProgramStorage!$B$17:$B$35</xm:f>
          </x14:formula1>
          <xm:sqref>F24:F34 F19:F22 F36:F38</xm:sqref>
        </x14:dataValidation>
        <x14:dataValidation type="list" allowBlank="1" showErrorMessage="1" errorTitle="Value not found." error="Only values that can be chosen from the drop-down-list are allowed!">
          <x14:formula1>
            <xm:f>ProgramStorage!$D$1:$D$8</xm:f>
          </x14:formula1>
          <xm:sqref>E14:E17 E4:E7 E9:E12 E19:E38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G40"/>
  <sheetViews>
    <sheetView zoomScaleNormal="100" zoomScaleSheetLayoutView="75" workbookViewId="0">
      <pane ySplit="3" topLeftCell="A4" activePane="bottomLeft" state="frozen"/>
      <selection pane="bottomLeft" activeCell="P16" sqref="P16"/>
    </sheetView>
  </sheetViews>
  <sheetFormatPr defaultColWidth="8.85546875" defaultRowHeight="15" customHeight="1" x14ac:dyDescent="0.2"/>
  <cols>
    <col min="1" max="1" width="25" style="1" bestFit="1" customWidth="1"/>
    <col min="2" max="2" width="14.42578125" style="1" bestFit="1" customWidth="1"/>
    <col min="3" max="5" width="9.7109375" style="1" customWidth="1"/>
    <col min="6" max="6" width="5.7109375" style="1" customWidth="1"/>
    <col min="7" max="7" width="11.7109375" style="1" customWidth="1"/>
    <col min="8" max="8" width="7.7109375" style="1" customWidth="1"/>
    <col min="9" max="9" width="10.7109375" style="1" customWidth="1"/>
    <col min="10" max="11" width="15.7109375" style="1" customWidth="1"/>
    <col min="12" max="12" width="20.7109375" style="1" customWidth="1"/>
    <col min="13" max="13" width="9.7109375" style="1" customWidth="1"/>
    <col min="14" max="14" width="8.140625" style="1" bestFit="1" customWidth="1"/>
    <col min="15" max="15" width="16.140625" style="1" bestFit="1" customWidth="1"/>
    <col min="16" max="16" width="20.140625" style="1" bestFit="1" customWidth="1"/>
    <col min="17" max="17" width="15.7109375" style="1" customWidth="1"/>
    <col min="18" max="18" width="18.28515625" style="1" customWidth="1"/>
    <col min="19" max="19" width="17.5703125" style="1" customWidth="1"/>
    <col min="20" max="21" width="9.140625" style="1" customWidth="1"/>
    <col min="22" max="22" width="12.85546875" style="1" bestFit="1" customWidth="1"/>
    <col min="23" max="23" width="17.85546875" style="1" customWidth="1"/>
    <col min="24" max="24" width="16.42578125" style="1" customWidth="1"/>
    <col min="25" max="16384" width="8.85546875" style="1"/>
  </cols>
  <sheetData>
    <row r="1" spans="1:33" ht="15" customHeight="1" thickTop="1" thickBot="1" x14ac:dyDescent="0.25">
      <c r="A1" s="136" t="s">
        <v>504</v>
      </c>
      <c r="B1" s="136" t="s">
        <v>505</v>
      </c>
      <c r="C1" s="136"/>
      <c r="D1" s="136" t="s">
        <v>506</v>
      </c>
      <c r="E1" s="136"/>
      <c r="F1" s="136"/>
      <c r="G1" s="136"/>
      <c r="H1" s="136"/>
      <c r="I1" s="136"/>
      <c r="J1" s="136" t="s">
        <v>507</v>
      </c>
      <c r="K1" s="136"/>
      <c r="L1" s="136"/>
      <c r="M1" s="119" t="s">
        <v>508</v>
      </c>
      <c r="N1" s="134" t="s">
        <v>511</v>
      </c>
      <c r="O1" s="134"/>
      <c r="P1" s="134"/>
      <c r="Q1" s="134"/>
      <c r="R1" s="134"/>
      <c r="S1" s="134"/>
      <c r="T1" s="134"/>
      <c r="U1" s="134"/>
      <c r="V1" s="134"/>
      <c r="W1" s="134"/>
      <c r="X1" s="134"/>
      <c r="Y1" s="134"/>
      <c r="Z1" s="134"/>
      <c r="AA1" s="134"/>
      <c r="AB1" s="134"/>
      <c r="AC1" s="134"/>
      <c r="AD1" s="134"/>
      <c r="AE1" s="134"/>
      <c r="AF1" s="134"/>
      <c r="AG1" s="134"/>
    </row>
    <row r="2" spans="1:33" ht="51" customHeight="1" thickTop="1" thickBot="1" x14ac:dyDescent="0.25">
      <c r="A2" s="136"/>
      <c r="B2" s="120" t="s">
        <v>5</v>
      </c>
      <c r="C2" s="120" t="s">
        <v>185</v>
      </c>
      <c r="D2" s="120" t="s">
        <v>205</v>
      </c>
      <c r="E2" s="120" t="s">
        <v>179</v>
      </c>
      <c r="F2" s="120" t="s">
        <v>3</v>
      </c>
      <c r="G2" s="120" t="s">
        <v>187</v>
      </c>
      <c r="H2" s="120" t="s">
        <v>509</v>
      </c>
      <c r="I2" s="120" t="s">
        <v>15</v>
      </c>
      <c r="J2" s="120" t="s">
        <v>192</v>
      </c>
      <c r="K2" s="120" t="s">
        <v>193</v>
      </c>
      <c r="L2" s="120" t="s">
        <v>194</v>
      </c>
      <c r="M2" s="120" t="s">
        <v>510</v>
      </c>
    </row>
    <row r="3" spans="1:33" ht="15" customHeight="1" thickTop="1" x14ac:dyDescent="0.2">
      <c r="A3" s="135" t="s">
        <v>503</v>
      </c>
      <c r="B3" s="135"/>
      <c r="C3" s="135"/>
      <c r="D3" s="135"/>
      <c r="E3" s="135"/>
      <c r="F3" s="135"/>
      <c r="G3" s="135"/>
      <c r="H3" s="135"/>
      <c r="I3" s="135"/>
      <c r="J3" s="135"/>
      <c r="K3" s="135"/>
      <c r="L3" s="135"/>
      <c r="M3" s="135"/>
      <c r="N3" s="125" t="s">
        <v>173</v>
      </c>
      <c r="O3" s="125" t="s">
        <v>193</v>
      </c>
      <c r="P3" s="125" t="s">
        <v>597</v>
      </c>
    </row>
    <row r="4" spans="1:33" ht="15" customHeight="1" x14ac:dyDescent="0.2">
      <c r="A4" s="121" t="str">
        <f ca="1">'Other mappings'!$P$19</f>
        <v>ModuleSettings.DisableEnc0</v>
      </c>
      <c r="B4" s="122" t="s">
        <v>323</v>
      </c>
      <c r="C4" s="122" t="s">
        <v>461</v>
      </c>
      <c r="D4" s="122">
        <v>4</v>
      </c>
      <c r="E4" s="122">
        <v>1</v>
      </c>
      <c r="F4" s="122">
        <v>0</v>
      </c>
      <c r="G4" s="122"/>
      <c r="H4" s="122" t="s">
        <v>3</v>
      </c>
      <c r="I4" s="122" t="s">
        <v>518</v>
      </c>
      <c r="J4" s="122" t="str">
        <f ca="1">IF(NOT(INDIRECT("N"&amp;ROW())=""),IF(INDIRECT("M"&amp;ROW())="Yes",INDIRECT("N"&amp;ROW()),""),"")</f>
        <v>chAll</v>
      </c>
      <c r="K4" s="122" t="str">
        <f ca="1">IF(NOT(INDIRECT("O"&amp;ROW())=""),IF(INDIRECT("M"&amp;ROW())="Yes",INDIRECT("O"&amp;ROW()),""),"")</f>
        <v>DisableEnc0</v>
      </c>
      <c r="L4" s="122" t="str">
        <f ca="1">IF(NOT(INDIRECT("P"&amp;ROW())=""),INDIRECT("P"&amp;ROW()),"")</f>
        <v/>
      </c>
      <c r="M4" s="123" t="str">
        <f>"YES"</f>
        <v>YES</v>
      </c>
      <c r="N4" s="124" t="s">
        <v>604</v>
      </c>
      <c r="O4" s="124" t="s">
        <v>637</v>
      </c>
      <c r="P4" s="124"/>
    </row>
    <row r="5" spans="1:33" ht="15" customHeight="1" x14ac:dyDescent="0.2">
      <c r="A5" s="121" t="str">
        <f ca="1">'Other mappings'!$P$20</f>
        <v>ModuleSettings.DisableEnc1</v>
      </c>
      <c r="B5" s="122" t="s">
        <v>323</v>
      </c>
      <c r="C5" s="122" t="s">
        <v>461</v>
      </c>
      <c r="D5" s="122">
        <v>4</v>
      </c>
      <c r="E5" s="122">
        <v>1</v>
      </c>
      <c r="F5" s="122">
        <v>1</v>
      </c>
      <c r="G5" s="122"/>
      <c r="H5" s="122" t="s">
        <v>3</v>
      </c>
      <c r="I5" s="122" t="s">
        <v>518</v>
      </c>
      <c r="J5" s="122" t="str">
        <f ca="1">IF(NOT(INDIRECT("N"&amp;ROW())=""),IF(INDIRECT("M"&amp;ROW())="Yes",INDIRECT("N"&amp;ROW()),""),"")</f>
        <v>chAll</v>
      </c>
      <c r="K5" s="122" t="str">
        <f ca="1">IF(NOT(INDIRECT("O"&amp;ROW())=""),IF(INDIRECT("M"&amp;ROW())="Yes",INDIRECT("O"&amp;ROW()),""),"")</f>
        <v>DisableEnc1</v>
      </c>
      <c r="L5" s="122" t="str">
        <f t="shared" ref="L5:L19" ca="1" si="0">IF(NOT(INDIRECT("P"&amp;ROW())=""),INDIRECT("P"&amp;ROW()),"")</f>
        <v/>
      </c>
      <c r="M5" s="123" t="str">
        <f t="shared" ref="M5:M23" si="1">"YES"</f>
        <v>YES</v>
      </c>
      <c r="N5" s="124" t="s">
        <v>604</v>
      </c>
      <c r="O5" s="124" t="s">
        <v>638</v>
      </c>
      <c r="P5" s="124"/>
    </row>
    <row r="6" spans="1:33" ht="15" customHeight="1" x14ac:dyDescent="0.2">
      <c r="A6" s="121" t="str">
        <f ca="1">'Other mappings'!$P$21</f>
        <v>ModuleSettings.DisableEnc2</v>
      </c>
      <c r="B6" s="122" t="s">
        <v>323</v>
      </c>
      <c r="C6" s="122" t="s">
        <v>461</v>
      </c>
      <c r="D6" s="122">
        <v>4</v>
      </c>
      <c r="E6" s="122">
        <v>1</v>
      </c>
      <c r="F6" s="122">
        <v>2</v>
      </c>
      <c r="G6" s="122"/>
      <c r="H6" s="122" t="s">
        <v>3</v>
      </c>
      <c r="I6" s="122" t="s">
        <v>518</v>
      </c>
      <c r="J6" s="122" t="str">
        <f ca="1">IF(NOT(INDIRECT("N"&amp;ROW())=""),IF(INDIRECT("M"&amp;ROW())="Yes",INDIRECT("N"&amp;ROW()),""),"")</f>
        <v>chAll</v>
      </c>
      <c r="K6" s="122" t="str">
        <f ca="1">IF(NOT(INDIRECT("O"&amp;ROW())=""),IF(INDIRECT("M"&amp;ROW())="Yes",INDIRECT("O"&amp;ROW()),""),"")</f>
        <v>DisableEnc2</v>
      </c>
      <c r="L6" s="122" t="str">
        <f t="shared" ca="1" si="0"/>
        <v/>
      </c>
      <c r="M6" s="123" t="str">
        <f t="shared" si="1"/>
        <v>YES</v>
      </c>
      <c r="N6" s="124" t="s">
        <v>604</v>
      </c>
      <c r="O6" s="124" t="s">
        <v>639</v>
      </c>
      <c r="P6" s="124"/>
    </row>
    <row r="7" spans="1:33" ht="15" customHeight="1" x14ac:dyDescent="0.2">
      <c r="A7" s="121" t="str">
        <f ca="1">'Other mappings'!$P$22</f>
        <v>ModuleSettings.DisableEnc3</v>
      </c>
      <c r="B7" s="122" t="s">
        <v>323</v>
      </c>
      <c r="C7" s="122" t="s">
        <v>461</v>
      </c>
      <c r="D7" s="122">
        <v>4</v>
      </c>
      <c r="E7" s="122">
        <v>1</v>
      </c>
      <c r="F7" s="122">
        <v>3</v>
      </c>
      <c r="G7" s="122"/>
      <c r="H7" s="122" t="s">
        <v>3</v>
      </c>
      <c r="I7" s="122" t="s">
        <v>518</v>
      </c>
      <c r="J7" s="122" t="str">
        <f t="shared" ref="J7:J25" ca="1" si="2">IF(NOT(INDIRECT("N"&amp;ROW())=""),IF(INDIRECT("M"&amp;ROW())="Yes",INDIRECT("N"&amp;ROW()),""),"")</f>
        <v>chAll</v>
      </c>
      <c r="K7" s="122" t="str">
        <f t="shared" ref="K7:K25" ca="1" si="3">IF(NOT(INDIRECT("O"&amp;ROW())=""),IF(INDIRECT("M"&amp;ROW())="Yes",INDIRECT("O"&amp;ROW()),""),"")</f>
        <v>DisableEnc3</v>
      </c>
      <c r="L7" s="122" t="str">
        <f t="shared" ca="1" si="0"/>
        <v/>
      </c>
      <c r="M7" s="123" t="str">
        <f t="shared" si="1"/>
        <v>YES</v>
      </c>
      <c r="N7" s="124" t="s">
        <v>604</v>
      </c>
      <c r="O7" s="124" t="s">
        <v>640</v>
      </c>
      <c r="P7" s="124"/>
    </row>
    <row r="8" spans="1:33" ht="15" customHeight="1" x14ac:dyDescent="0.2">
      <c r="A8" s="121" t="str">
        <f ca="1">'Other mappings'!$P$23</f>
        <v>ModuleSettings.DisableEnc4</v>
      </c>
      <c r="B8" s="122" t="s">
        <v>323</v>
      </c>
      <c r="C8" s="122" t="s">
        <v>461</v>
      </c>
      <c r="D8" s="122">
        <v>4</v>
      </c>
      <c r="E8" s="122">
        <v>1</v>
      </c>
      <c r="F8" s="122">
        <v>4</v>
      </c>
      <c r="G8" s="122"/>
      <c r="H8" s="122" t="s">
        <v>3</v>
      </c>
      <c r="I8" s="122" t="s">
        <v>518</v>
      </c>
      <c r="J8" s="122" t="str">
        <f t="shared" ca="1" si="2"/>
        <v>chAll</v>
      </c>
      <c r="K8" s="122" t="str">
        <f t="shared" ca="1" si="3"/>
        <v>DisableEnc4</v>
      </c>
      <c r="L8" s="122" t="str">
        <f t="shared" ca="1" si="0"/>
        <v/>
      </c>
      <c r="M8" s="123" t="str">
        <f t="shared" si="1"/>
        <v>YES</v>
      </c>
      <c r="N8" s="124" t="s">
        <v>604</v>
      </c>
      <c r="O8" s="124" t="s">
        <v>684</v>
      </c>
      <c r="P8" s="124"/>
    </row>
    <row r="9" spans="1:33" ht="15" customHeight="1" x14ac:dyDescent="0.2">
      <c r="A9" s="121" t="str">
        <f ca="1">'Other mappings'!$P$24</f>
        <v>ModuleSettings.DisableEnc5</v>
      </c>
      <c r="B9" s="122" t="s">
        <v>323</v>
      </c>
      <c r="C9" s="122" t="s">
        <v>461</v>
      </c>
      <c r="D9" s="122">
        <v>4</v>
      </c>
      <c r="E9" s="122">
        <v>1</v>
      </c>
      <c r="F9" s="122">
        <v>5</v>
      </c>
      <c r="G9" s="122"/>
      <c r="H9" s="122" t="s">
        <v>3</v>
      </c>
      <c r="I9" s="122" t="s">
        <v>518</v>
      </c>
      <c r="J9" s="122" t="str">
        <f t="shared" ca="1" si="2"/>
        <v>chAll</v>
      </c>
      <c r="K9" s="122" t="str">
        <f t="shared" ca="1" si="3"/>
        <v>DisableEnc5</v>
      </c>
      <c r="L9" s="122" t="str">
        <f t="shared" ca="1" si="0"/>
        <v/>
      </c>
      <c r="M9" s="123" t="str">
        <f t="shared" si="1"/>
        <v>YES</v>
      </c>
      <c r="N9" s="124" t="s">
        <v>604</v>
      </c>
      <c r="O9" s="124" t="s">
        <v>685</v>
      </c>
      <c r="P9" s="124"/>
    </row>
    <row r="10" spans="1:33" ht="15" customHeight="1" x14ac:dyDescent="0.2">
      <c r="A10" s="121" t="str">
        <f ca="1">'Other mappings'!$P$25</f>
        <v>ModuleSettings.DisableEnc6</v>
      </c>
      <c r="B10" s="122" t="s">
        <v>323</v>
      </c>
      <c r="C10" s="122" t="s">
        <v>461</v>
      </c>
      <c r="D10" s="122">
        <v>4</v>
      </c>
      <c r="E10" s="122">
        <v>1</v>
      </c>
      <c r="F10" s="122">
        <v>6</v>
      </c>
      <c r="G10" s="122"/>
      <c r="H10" s="122" t="s">
        <v>3</v>
      </c>
      <c r="I10" s="122" t="s">
        <v>518</v>
      </c>
      <c r="J10" s="122" t="str">
        <f t="shared" ca="1" si="2"/>
        <v>chAll</v>
      </c>
      <c r="K10" s="122" t="str">
        <f t="shared" ca="1" si="3"/>
        <v>DisableEnc6</v>
      </c>
      <c r="L10" s="122" t="str">
        <f t="shared" ca="1" si="0"/>
        <v/>
      </c>
      <c r="M10" s="123" t="str">
        <f t="shared" si="1"/>
        <v>YES</v>
      </c>
      <c r="N10" s="124" t="s">
        <v>604</v>
      </c>
      <c r="O10" s="124" t="s">
        <v>686</v>
      </c>
      <c r="P10" s="124"/>
    </row>
    <row r="11" spans="1:33" ht="15" customHeight="1" x14ac:dyDescent="0.2">
      <c r="A11" s="121" t="str">
        <f ca="1">'Other mappings'!$P$26</f>
        <v>ModuleSettings.DisableEnc7</v>
      </c>
      <c r="B11" s="122" t="s">
        <v>323</v>
      </c>
      <c r="C11" s="122" t="s">
        <v>461</v>
      </c>
      <c r="D11" s="122">
        <v>4</v>
      </c>
      <c r="E11" s="122">
        <v>1</v>
      </c>
      <c r="F11" s="122">
        <v>7</v>
      </c>
      <c r="G11" s="122"/>
      <c r="H11" s="122" t="s">
        <v>3</v>
      </c>
      <c r="I11" s="122" t="s">
        <v>518</v>
      </c>
      <c r="J11" s="122" t="str">
        <f t="shared" ca="1" si="2"/>
        <v>chAll</v>
      </c>
      <c r="K11" s="122" t="str">
        <f t="shared" ca="1" si="3"/>
        <v>DisableEnc7</v>
      </c>
      <c r="L11" s="122" t="str">
        <f t="shared" ca="1" si="0"/>
        <v/>
      </c>
      <c r="M11" s="123" t="str">
        <f t="shared" si="1"/>
        <v>YES</v>
      </c>
      <c r="N11" s="124" t="s">
        <v>604</v>
      </c>
      <c r="O11" s="124" t="s">
        <v>687</v>
      </c>
      <c r="P11" s="124"/>
    </row>
    <row r="12" spans="1:33" ht="15" customHeight="1" x14ac:dyDescent="0.2">
      <c r="A12" s="121" t="str">
        <f ca="1">'Other mappings'!$P$27</f>
        <v>ModuleSettings.DisableEnc8</v>
      </c>
      <c r="B12" s="122" t="s">
        <v>323</v>
      </c>
      <c r="C12" s="122" t="s">
        <v>461</v>
      </c>
      <c r="D12" s="122">
        <v>4</v>
      </c>
      <c r="E12" s="122">
        <v>1</v>
      </c>
      <c r="F12" s="122">
        <v>8</v>
      </c>
      <c r="G12" s="122"/>
      <c r="H12" s="122" t="s">
        <v>3</v>
      </c>
      <c r="I12" s="122" t="s">
        <v>518</v>
      </c>
      <c r="J12" s="122" t="str">
        <f t="shared" ca="1" si="2"/>
        <v>chAll</v>
      </c>
      <c r="K12" s="122" t="str">
        <f t="shared" ca="1" si="3"/>
        <v>DisableEnc8</v>
      </c>
      <c r="L12" s="122" t="str">
        <f t="shared" ca="1" si="0"/>
        <v/>
      </c>
      <c r="M12" s="123" t="str">
        <f t="shared" si="1"/>
        <v>YES</v>
      </c>
      <c r="N12" s="124" t="s">
        <v>604</v>
      </c>
      <c r="O12" s="124" t="s">
        <v>688</v>
      </c>
      <c r="P12" s="124"/>
    </row>
    <row r="13" spans="1:33" ht="15" customHeight="1" x14ac:dyDescent="0.2">
      <c r="A13" s="121" t="str">
        <f ca="1">'Other mappings'!$P$28</f>
        <v>ModuleSettings.DisableEnc9</v>
      </c>
      <c r="B13" s="122" t="s">
        <v>323</v>
      </c>
      <c r="C13" s="122" t="s">
        <v>461</v>
      </c>
      <c r="D13" s="122">
        <v>4</v>
      </c>
      <c r="E13" s="122">
        <v>1</v>
      </c>
      <c r="F13" s="122">
        <v>9</v>
      </c>
      <c r="G13" s="122"/>
      <c r="H13" s="122" t="s">
        <v>3</v>
      </c>
      <c r="I13" s="122" t="s">
        <v>518</v>
      </c>
      <c r="J13" s="122" t="str">
        <f t="shared" ca="1" si="2"/>
        <v>chAll</v>
      </c>
      <c r="K13" s="122" t="str">
        <f t="shared" ca="1" si="3"/>
        <v>DisableEnc9</v>
      </c>
      <c r="L13" s="122" t="str">
        <f t="shared" ca="1" si="0"/>
        <v/>
      </c>
      <c r="M13" s="123" t="str">
        <f t="shared" si="1"/>
        <v>YES</v>
      </c>
      <c r="N13" s="124" t="s">
        <v>604</v>
      </c>
      <c r="O13" s="124" t="s">
        <v>689</v>
      </c>
      <c r="P13" s="124"/>
    </row>
    <row r="14" spans="1:33" ht="15" customHeight="1" x14ac:dyDescent="0.2">
      <c r="A14" s="121" t="str">
        <f ca="1">'Other mappings'!$P$29</f>
        <v>ModuleSettings.DisableEncA</v>
      </c>
      <c r="B14" s="122" t="s">
        <v>323</v>
      </c>
      <c r="C14" s="122" t="s">
        <v>461</v>
      </c>
      <c r="D14" s="122">
        <v>4</v>
      </c>
      <c r="E14" s="122">
        <v>1</v>
      </c>
      <c r="F14" s="122">
        <v>10</v>
      </c>
      <c r="G14" s="122"/>
      <c r="H14" s="122" t="s">
        <v>3</v>
      </c>
      <c r="I14" s="122" t="s">
        <v>518</v>
      </c>
      <c r="J14" s="122" t="str">
        <f t="shared" ca="1" si="2"/>
        <v>chAll</v>
      </c>
      <c r="K14" s="122" t="str">
        <f t="shared" ca="1" si="3"/>
        <v>DisableEncA</v>
      </c>
      <c r="L14" s="122" t="str">
        <f t="shared" ca="1" si="0"/>
        <v/>
      </c>
      <c r="M14" s="123" t="str">
        <f t="shared" si="1"/>
        <v>YES</v>
      </c>
      <c r="N14" s="124" t="s">
        <v>604</v>
      </c>
      <c r="O14" s="124" t="s">
        <v>738</v>
      </c>
      <c r="P14" s="124"/>
    </row>
    <row r="15" spans="1:33" ht="15" customHeight="1" x14ac:dyDescent="0.2">
      <c r="A15" s="121" t="str">
        <f ca="1">'Other mappings'!$P$30</f>
        <v>ModuleSettings.DisableEncB</v>
      </c>
      <c r="B15" s="122" t="s">
        <v>323</v>
      </c>
      <c r="C15" s="122" t="s">
        <v>461</v>
      </c>
      <c r="D15" s="122">
        <v>4</v>
      </c>
      <c r="E15" s="122">
        <v>1</v>
      </c>
      <c r="F15" s="122">
        <v>11</v>
      </c>
      <c r="G15" s="122"/>
      <c r="H15" s="122" t="s">
        <v>3</v>
      </c>
      <c r="I15" s="122" t="s">
        <v>518</v>
      </c>
      <c r="J15" s="122" t="str">
        <f t="shared" ca="1" si="2"/>
        <v>chAll</v>
      </c>
      <c r="K15" s="122" t="str">
        <f t="shared" ca="1" si="3"/>
        <v>DisableEncB</v>
      </c>
      <c r="L15" s="122" t="str">
        <f t="shared" ca="1" si="0"/>
        <v/>
      </c>
      <c r="M15" s="123" t="str">
        <f t="shared" si="1"/>
        <v>YES</v>
      </c>
      <c r="N15" s="124" t="s">
        <v>604</v>
      </c>
      <c r="O15" s="124" t="s">
        <v>739</v>
      </c>
      <c r="P15" s="124"/>
    </row>
    <row r="16" spans="1:33" ht="15" customHeight="1" x14ac:dyDescent="0.2">
      <c r="A16" s="121" t="str">
        <f ca="1">'Other mappings'!$P$31</f>
        <v>ModuleSettings.DisableEncGrp0ChZ</v>
      </c>
      <c r="B16" s="122" t="s">
        <v>323</v>
      </c>
      <c r="C16" s="122" t="s">
        <v>461</v>
      </c>
      <c r="D16" s="122">
        <v>4</v>
      </c>
      <c r="E16" s="122">
        <v>1</v>
      </c>
      <c r="F16" s="122">
        <v>12</v>
      </c>
      <c r="G16" s="122"/>
      <c r="H16" s="122" t="s">
        <v>3</v>
      </c>
      <c r="I16" s="122" t="s">
        <v>518</v>
      </c>
      <c r="J16" s="122" t="str">
        <f t="shared" ca="1" si="2"/>
        <v>chAll</v>
      </c>
      <c r="K16" s="122" t="str">
        <f t="shared" ca="1" si="3"/>
        <v>DisableGrp0ChZ</v>
      </c>
      <c r="L16" s="122" t="str">
        <f t="shared" ca="1" si="0"/>
        <v>Disable Enc 0123 ChZ</v>
      </c>
      <c r="M16" s="123" t="str">
        <f t="shared" si="1"/>
        <v>YES</v>
      </c>
      <c r="N16" s="124" t="s">
        <v>604</v>
      </c>
      <c r="O16" s="124" t="s">
        <v>690</v>
      </c>
      <c r="P16" s="124" t="s">
        <v>697</v>
      </c>
    </row>
    <row r="17" spans="1:16" ht="15" customHeight="1" x14ac:dyDescent="0.2">
      <c r="A17" s="121" t="str">
        <f ca="1">'Other mappings'!$P$32</f>
        <v>ModuleSettings.DisableEncGrp1ChZ</v>
      </c>
      <c r="B17" s="122" t="s">
        <v>323</v>
      </c>
      <c r="C17" s="122" t="s">
        <v>461</v>
      </c>
      <c r="D17" s="122">
        <v>4</v>
      </c>
      <c r="E17" s="122">
        <v>1</v>
      </c>
      <c r="F17" s="122">
        <v>13</v>
      </c>
      <c r="G17" s="122"/>
      <c r="H17" s="122" t="s">
        <v>3</v>
      </c>
      <c r="I17" s="122" t="s">
        <v>518</v>
      </c>
      <c r="J17" s="122" t="str">
        <f t="shared" ca="1" si="2"/>
        <v>chAll</v>
      </c>
      <c r="K17" s="122" t="str">
        <f t="shared" ca="1" si="3"/>
        <v>DisableGrp1ChZ</v>
      </c>
      <c r="L17" s="122" t="str">
        <f t="shared" ca="1" si="0"/>
        <v>Disable Enc 4567 ChZ</v>
      </c>
      <c r="M17" s="123" t="str">
        <f>"YES"</f>
        <v>YES</v>
      </c>
      <c r="N17" s="124" t="s">
        <v>604</v>
      </c>
      <c r="O17" s="124" t="s">
        <v>691</v>
      </c>
      <c r="P17" s="124" t="s">
        <v>696</v>
      </c>
    </row>
    <row r="18" spans="1:16" ht="15" customHeight="1" x14ac:dyDescent="0.2">
      <c r="A18" s="121" t="str">
        <f ca="1">'Other mappings'!$P$33</f>
        <v>ModuleSettings.DisableEncGrp2ChZ</v>
      </c>
      <c r="B18" s="122" t="s">
        <v>323</v>
      </c>
      <c r="C18" s="122" t="s">
        <v>461</v>
      </c>
      <c r="D18" s="122">
        <v>4</v>
      </c>
      <c r="E18" s="122">
        <v>1</v>
      </c>
      <c r="F18" s="122">
        <v>14</v>
      </c>
      <c r="G18" s="122"/>
      <c r="H18" s="122" t="s">
        <v>3</v>
      </c>
      <c r="I18" s="122" t="s">
        <v>518</v>
      </c>
      <c r="J18" s="122" t="str">
        <f t="shared" ca="1" si="2"/>
        <v>chAll</v>
      </c>
      <c r="K18" s="122" t="str">
        <f t="shared" ca="1" si="3"/>
        <v>DisableGrp2ChZ</v>
      </c>
      <c r="L18" s="122" t="str">
        <f t="shared" ca="1" si="0"/>
        <v>Disable Enc 89AB ChZ</v>
      </c>
      <c r="M18" s="123" t="str">
        <f>"YES"</f>
        <v>YES</v>
      </c>
      <c r="N18" s="124" t="s">
        <v>604</v>
      </c>
      <c r="O18" s="124" t="s">
        <v>692</v>
      </c>
      <c r="P18" s="124" t="s">
        <v>695</v>
      </c>
    </row>
    <row r="19" spans="1:16" ht="15" customHeight="1" x14ac:dyDescent="0.2">
      <c r="A19" s="121" t="str">
        <f ca="1">'Other mappings'!$P$34</f>
        <v>ModuleSettings.DisableEncAllChZ</v>
      </c>
      <c r="B19" s="122" t="s">
        <v>323</v>
      </c>
      <c r="C19" s="122" t="s">
        <v>461</v>
      </c>
      <c r="D19" s="122">
        <v>4</v>
      </c>
      <c r="E19" s="122">
        <v>1</v>
      </c>
      <c r="F19" s="122">
        <v>15</v>
      </c>
      <c r="G19" s="122"/>
      <c r="H19" s="122" t="s">
        <v>3</v>
      </c>
      <c r="I19" s="122" t="s">
        <v>518</v>
      </c>
      <c r="J19" s="122" t="str">
        <f t="shared" ca="1" si="2"/>
        <v>chAll</v>
      </c>
      <c r="K19" s="122" t="str">
        <f t="shared" ca="1" si="3"/>
        <v>DisableEncAllChZ</v>
      </c>
      <c r="L19" s="122" t="str">
        <f t="shared" ca="1" si="0"/>
        <v>Disable Enc All ChZ</v>
      </c>
      <c r="M19" s="123" t="str">
        <f t="shared" si="1"/>
        <v>YES</v>
      </c>
      <c r="N19" s="124" t="s">
        <v>604</v>
      </c>
      <c r="O19" s="124" t="s">
        <v>693</v>
      </c>
      <c r="P19" s="124" t="s">
        <v>694</v>
      </c>
    </row>
    <row r="20" spans="1:16" ht="15" customHeight="1" x14ac:dyDescent="0.2">
      <c r="A20" s="121"/>
      <c r="B20" s="122"/>
      <c r="C20" s="122"/>
      <c r="D20" s="122"/>
      <c r="E20" s="122"/>
      <c r="F20" s="122"/>
      <c r="G20" s="122"/>
      <c r="H20" s="122"/>
      <c r="I20" s="122"/>
      <c r="J20" s="122" t="str">
        <f t="shared" ca="1" si="2"/>
        <v/>
      </c>
      <c r="K20" s="122" t="str">
        <f t="shared" ca="1" si="3"/>
        <v/>
      </c>
      <c r="L20" s="122" t="str">
        <f t="shared" ref="L7:L25" ca="1" si="4">IF(NOT(INDIRECT("P"&amp;ROW())=""),INDIRECT("P"&amp;ROW()),"")</f>
        <v/>
      </c>
      <c r="M20" s="123" t="s">
        <v>636</v>
      </c>
      <c r="N20" s="124"/>
      <c r="O20" s="124"/>
      <c r="P20" s="124"/>
    </row>
    <row r="21" spans="1:16" ht="15" customHeight="1" x14ac:dyDescent="0.2">
      <c r="A21" s="121" t="str">
        <f ca="1">'Other mappings'!$P$36</f>
        <v>ModuleSettings.GeneralSettings</v>
      </c>
      <c r="B21" s="122" t="s">
        <v>323</v>
      </c>
      <c r="C21" s="122" t="s">
        <v>461</v>
      </c>
      <c r="D21" s="122">
        <v>4</v>
      </c>
      <c r="E21" s="122">
        <v>2</v>
      </c>
      <c r="F21" s="122"/>
      <c r="G21" s="122"/>
      <c r="H21" s="122" t="s">
        <v>247</v>
      </c>
      <c r="I21" s="122" t="s">
        <v>518</v>
      </c>
      <c r="J21" s="122" t="str">
        <f t="shared" ca="1" si="2"/>
        <v>chAll</v>
      </c>
      <c r="K21" s="122" t="str">
        <f t="shared" ca="1" si="3"/>
        <v>GeneralSettings</v>
      </c>
      <c r="L21" s="122" t="str">
        <f t="shared" ca="1" si="4"/>
        <v>GeneralSettings</v>
      </c>
      <c r="M21" s="123" t="str">
        <f t="shared" si="1"/>
        <v>YES</v>
      </c>
      <c r="N21" s="124" t="s">
        <v>604</v>
      </c>
      <c r="O21" s="124" t="s">
        <v>605</v>
      </c>
      <c r="P21" s="124" t="s">
        <v>605</v>
      </c>
    </row>
    <row r="22" spans="1:16" ht="15" customHeight="1" x14ac:dyDescent="0.2">
      <c r="A22" s="121" t="str">
        <f ca="1">'Other mappings'!$P$37</f>
        <v>ModuleSettings.Reserved1</v>
      </c>
      <c r="B22" s="122" t="s">
        <v>323</v>
      </c>
      <c r="C22" s="122" t="s">
        <v>461</v>
      </c>
      <c r="D22" s="122">
        <v>4</v>
      </c>
      <c r="E22" s="122">
        <v>3</v>
      </c>
      <c r="F22" s="122"/>
      <c r="G22" s="122"/>
      <c r="H22" s="122" t="s">
        <v>247</v>
      </c>
      <c r="I22" s="122" t="s">
        <v>518</v>
      </c>
      <c r="J22" s="122" t="str">
        <f t="shared" ca="1" si="2"/>
        <v>chAll</v>
      </c>
      <c r="K22" s="122" t="str">
        <f t="shared" ca="1" si="3"/>
        <v>Reserved1</v>
      </c>
      <c r="L22" s="122" t="str">
        <f t="shared" ca="1" si="4"/>
        <v>Reserved1</v>
      </c>
      <c r="M22" s="123" t="str">
        <f t="shared" si="1"/>
        <v>YES</v>
      </c>
      <c r="N22" s="124" t="s">
        <v>604</v>
      </c>
      <c r="O22" s="124" t="s">
        <v>606</v>
      </c>
      <c r="P22" s="124" t="s">
        <v>606</v>
      </c>
    </row>
    <row r="23" spans="1:16" ht="15" customHeight="1" x14ac:dyDescent="0.2">
      <c r="A23" s="121" t="str">
        <f ca="1">'Other mappings'!$P$38</f>
        <v>ModuleSettings.Reserved2</v>
      </c>
      <c r="B23" s="122" t="s">
        <v>323</v>
      </c>
      <c r="C23" s="122" t="s">
        <v>461</v>
      </c>
      <c r="D23" s="122">
        <v>4</v>
      </c>
      <c r="E23" s="122">
        <v>4</v>
      </c>
      <c r="F23" s="122"/>
      <c r="G23" s="122"/>
      <c r="H23" s="122" t="s">
        <v>247</v>
      </c>
      <c r="I23" s="122" t="s">
        <v>518</v>
      </c>
      <c r="J23" s="122" t="str">
        <f t="shared" ca="1" si="2"/>
        <v>chAll</v>
      </c>
      <c r="K23" s="122" t="str">
        <f t="shared" ca="1" si="3"/>
        <v>Reserved2</v>
      </c>
      <c r="L23" s="122" t="str">
        <f t="shared" ca="1" si="4"/>
        <v>Reserved2</v>
      </c>
      <c r="M23" s="123" t="str">
        <f t="shared" si="1"/>
        <v>YES</v>
      </c>
      <c r="N23" s="124" t="s">
        <v>604</v>
      </c>
      <c r="O23" s="124" t="s">
        <v>607</v>
      </c>
      <c r="P23" s="124" t="s">
        <v>607</v>
      </c>
    </row>
    <row r="24" spans="1:16" ht="15" customHeight="1" x14ac:dyDescent="0.2">
      <c r="A24" s="121"/>
      <c r="B24" s="122"/>
      <c r="C24" s="122"/>
      <c r="D24" s="122"/>
      <c r="E24" s="122"/>
      <c r="F24" s="122"/>
      <c r="G24" s="122"/>
      <c r="H24" s="122"/>
      <c r="I24" s="122"/>
      <c r="J24" s="122" t="str">
        <f t="shared" ca="1" si="2"/>
        <v/>
      </c>
      <c r="K24" s="122" t="str">
        <f t="shared" ca="1" si="3"/>
        <v/>
      </c>
      <c r="L24" s="122" t="str">
        <f t="shared" ca="1" si="4"/>
        <v/>
      </c>
      <c r="M24" s="123" t="s">
        <v>636</v>
      </c>
      <c r="N24" s="124"/>
      <c r="O24" s="124"/>
      <c r="P24" s="124"/>
    </row>
    <row r="25" spans="1:16" ht="15" customHeight="1" x14ac:dyDescent="0.2">
      <c r="A25" s="121" t="str">
        <f ca="1">'Other mappings'!$P$14</f>
        <v>Module0.failureMode</v>
      </c>
      <c r="B25" s="122" t="s">
        <v>323</v>
      </c>
      <c r="C25" s="122" t="s">
        <v>461</v>
      </c>
      <c r="D25" s="122">
        <v>4</v>
      </c>
      <c r="E25" s="122">
        <v>5</v>
      </c>
      <c r="F25" s="122"/>
      <c r="G25" s="122"/>
      <c r="H25" s="122" t="s">
        <v>247</v>
      </c>
      <c r="I25" s="122" t="s">
        <v>518</v>
      </c>
      <c r="J25" s="122" t="str">
        <f t="shared" ca="1" si="2"/>
        <v>ch0</v>
      </c>
      <c r="K25" s="122" t="str">
        <f t="shared" ca="1" si="3"/>
        <v>FailureMode</v>
      </c>
      <c r="L25" s="122" t="str">
        <f t="shared" ca="1" si="4"/>
        <v>FailureMode</v>
      </c>
      <c r="M25" s="123" t="str">
        <f>"YES"</f>
        <v>YES</v>
      </c>
      <c r="N25" s="124" t="s">
        <v>608</v>
      </c>
      <c r="O25" s="124" t="s">
        <v>513</v>
      </c>
      <c r="P25" s="124" t="s">
        <v>513</v>
      </c>
    </row>
    <row r="26" spans="1:16" ht="15" customHeight="1" x14ac:dyDescent="0.2">
      <c r="A26" s="121" t="str">
        <f ca="1">'Other mappings'!$P$15</f>
        <v>Module0.pulseWidth</v>
      </c>
      <c r="B26" s="122" t="s">
        <v>323</v>
      </c>
      <c r="C26" s="122" t="s">
        <v>461</v>
      </c>
      <c r="D26" s="122">
        <v>4</v>
      </c>
      <c r="E26" s="122">
        <v>6</v>
      </c>
      <c r="F26" s="122"/>
      <c r="G26" s="122"/>
      <c r="H26" s="122" t="s">
        <v>247</v>
      </c>
      <c r="I26" s="122" t="s">
        <v>518</v>
      </c>
      <c r="J26" s="122" t="str">
        <f t="shared" ref="J26:J29" ca="1" si="5">IF(NOT(INDIRECT("N"&amp;ROW())=""),IF(INDIRECT("M"&amp;ROW())="Yes",INDIRECT("N"&amp;ROW()),""),"")</f>
        <v>ch0</v>
      </c>
      <c r="K26" s="122" t="str">
        <f t="shared" ref="K26:K29" ca="1" si="6">IF(NOT(INDIRECT("O"&amp;ROW())=""),IF(INDIRECT("M"&amp;ROW())="Yes",INDIRECT("O"&amp;ROW()),""),"")</f>
        <v>PulseWidth</v>
      </c>
      <c r="L26" s="122" t="str">
        <f t="shared" ref="L26:L29" ca="1" si="7">IF(NOT(INDIRECT("P"&amp;ROW())=""),INDIRECT("P"&amp;ROW()),"")</f>
        <v>PulseWidth</v>
      </c>
      <c r="M26" s="123" t="str">
        <f t="shared" ref="M26:M29" si="8">"YES"</f>
        <v>YES</v>
      </c>
      <c r="N26" s="124" t="s">
        <v>608</v>
      </c>
      <c r="O26" s="124" t="s">
        <v>514</v>
      </c>
      <c r="P26" s="124" t="s">
        <v>514</v>
      </c>
    </row>
    <row r="27" spans="1:16" ht="15" customHeight="1" x14ac:dyDescent="0.2">
      <c r="A27" s="121" t="str">
        <f ca="1">'Other mappings'!$P$16</f>
        <v>Module0.pulseCount</v>
      </c>
      <c r="B27" s="122" t="s">
        <v>323</v>
      </c>
      <c r="C27" s="122" t="s">
        <v>461</v>
      </c>
      <c r="D27" s="122">
        <v>4</v>
      </c>
      <c r="E27" s="122">
        <v>7</v>
      </c>
      <c r="F27" s="122"/>
      <c r="G27" s="122"/>
      <c r="H27" s="122" t="s">
        <v>247</v>
      </c>
      <c r="I27" s="122" t="s">
        <v>518</v>
      </c>
      <c r="J27" s="122" t="str">
        <f t="shared" ca="1" si="5"/>
        <v>ch0</v>
      </c>
      <c r="K27" s="122" t="str">
        <f t="shared" ca="1" si="6"/>
        <v>PulseCount</v>
      </c>
      <c r="L27" s="122" t="str">
        <f t="shared" ca="1" si="7"/>
        <v>PulseCount</v>
      </c>
      <c r="M27" s="123" t="str">
        <f t="shared" si="8"/>
        <v>YES</v>
      </c>
      <c r="N27" s="124" t="s">
        <v>608</v>
      </c>
      <c r="O27" s="124" t="s">
        <v>515</v>
      </c>
      <c r="P27" s="124" t="s">
        <v>515</v>
      </c>
    </row>
    <row r="28" spans="1:16" ht="15" customHeight="1" x14ac:dyDescent="0.2">
      <c r="A28" s="121" t="str">
        <f ca="1">'Other mappings'!$P$17</f>
        <v>Module0.pulsesPerRevolution</v>
      </c>
      <c r="B28" s="122" t="s">
        <v>323</v>
      </c>
      <c r="C28" s="122" t="s">
        <v>461</v>
      </c>
      <c r="D28" s="122">
        <v>4</v>
      </c>
      <c r="E28" s="122">
        <v>8</v>
      </c>
      <c r="F28" s="122"/>
      <c r="G28" s="122"/>
      <c r="H28" s="122" t="s">
        <v>247</v>
      </c>
      <c r="I28" s="122" t="s">
        <v>518</v>
      </c>
      <c r="J28" s="122" t="str">
        <f t="shared" ca="1" si="5"/>
        <v>ch0</v>
      </c>
      <c r="K28" s="122" t="str">
        <f t="shared" ca="1" si="6"/>
        <v>PulsesPerRev</v>
      </c>
      <c r="L28" s="122" t="str">
        <f t="shared" ca="1" si="7"/>
        <v>Pulses Per Revolution</v>
      </c>
      <c r="M28" s="123" t="str">
        <f t="shared" si="8"/>
        <v>YES</v>
      </c>
      <c r="N28" s="124" t="s">
        <v>608</v>
      </c>
      <c r="O28" s="124" t="s">
        <v>579</v>
      </c>
      <c r="P28" s="124" t="s">
        <v>580</v>
      </c>
    </row>
    <row r="29" spans="1:16" ht="15" customHeight="1" x14ac:dyDescent="0.2">
      <c r="A29" s="121" t="str">
        <f ca="1">'Other mappings'!$P$4</f>
        <v>Module1.failureMode</v>
      </c>
      <c r="B29" s="122" t="s">
        <v>323</v>
      </c>
      <c r="C29" s="122" t="s">
        <v>461</v>
      </c>
      <c r="D29" s="122">
        <v>4</v>
      </c>
      <c r="E29" s="122">
        <v>9</v>
      </c>
      <c r="F29" s="122"/>
      <c r="G29" s="122"/>
      <c r="H29" s="122" t="s">
        <v>247</v>
      </c>
      <c r="I29" s="122" t="s">
        <v>518</v>
      </c>
      <c r="J29" s="122" t="str">
        <f t="shared" ca="1" si="5"/>
        <v>ch1</v>
      </c>
      <c r="K29" s="122" t="str">
        <f t="shared" ca="1" si="6"/>
        <v>FailureMode</v>
      </c>
      <c r="L29" s="122" t="str">
        <f t="shared" ca="1" si="7"/>
        <v>FailureMode</v>
      </c>
      <c r="M29" s="123" t="str">
        <f t="shared" si="8"/>
        <v>YES</v>
      </c>
      <c r="N29" s="124" t="s">
        <v>512</v>
      </c>
      <c r="O29" s="124" t="s">
        <v>513</v>
      </c>
      <c r="P29" s="124" t="s">
        <v>513</v>
      </c>
    </row>
    <row r="30" spans="1:16" ht="15" customHeight="1" x14ac:dyDescent="0.2">
      <c r="A30" s="121" t="str">
        <f ca="1">'Other mappings'!$P$5</f>
        <v>Module1.pulseWidth</v>
      </c>
      <c r="B30" s="122" t="s">
        <v>323</v>
      </c>
      <c r="C30" s="122" t="s">
        <v>461</v>
      </c>
      <c r="D30" s="122">
        <v>4</v>
      </c>
      <c r="E30" s="122">
        <v>10</v>
      </c>
      <c r="F30" s="122"/>
      <c r="G30" s="122"/>
      <c r="H30" s="122" t="s">
        <v>247</v>
      </c>
      <c r="I30" s="122" t="s">
        <v>518</v>
      </c>
      <c r="J30" s="122" t="str">
        <f t="shared" ref="J30:J36" ca="1" si="9">IF(NOT(INDIRECT("N"&amp;ROW())=""),IF(INDIRECT("M"&amp;ROW())="Yes",INDIRECT("N"&amp;ROW()),""),"")</f>
        <v>ch1</v>
      </c>
      <c r="K30" s="122" t="str">
        <f t="shared" ref="K30:K36" ca="1" si="10">IF(NOT(INDIRECT("O"&amp;ROW())=""),IF(INDIRECT("M"&amp;ROW())="Yes",INDIRECT("O"&amp;ROW()),""),"")</f>
        <v>PulseWidth</v>
      </c>
      <c r="L30" s="122" t="str">
        <f t="shared" ref="L30:L36" ca="1" si="11">IF(NOT(INDIRECT("P"&amp;ROW())=""),INDIRECT("P"&amp;ROW()),"")</f>
        <v>PulseWidth</v>
      </c>
      <c r="M30" s="123" t="str">
        <f t="shared" ref="M30:M36" si="12">"YES"</f>
        <v>YES</v>
      </c>
      <c r="N30" s="124" t="s">
        <v>512</v>
      </c>
      <c r="O30" s="124" t="s">
        <v>514</v>
      </c>
      <c r="P30" s="124" t="s">
        <v>514</v>
      </c>
    </row>
    <row r="31" spans="1:16" ht="15" customHeight="1" x14ac:dyDescent="0.2">
      <c r="A31" s="121" t="str">
        <f ca="1">'Other mappings'!$P$6</f>
        <v>Module1.pulseCount</v>
      </c>
      <c r="B31" s="122" t="s">
        <v>323</v>
      </c>
      <c r="C31" s="122" t="s">
        <v>461</v>
      </c>
      <c r="D31" s="122">
        <v>4</v>
      </c>
      <c r="E31" s="122">
        <v>11</v>
      </c>
      <c r="F31" s="122"/>
      <c r="G31" s="122"/>
      <c r="H31" s="122" t="s">
        <v>247</v>
      </c>
      <c r="I31" s="122" t="s">
        <v>518</v>
      </c>
      <c r="J31" s="122" t="str">
        <f t="shared" ca="1" si="9"/>
        <v>ch1</v>
      </c>
      <c r="K31" s="122" t="str">
        <f t="shared" ca="1" si="10"/>
        <v>PulseCount</v>
      </c>
      <c r="L31" s="122" t="str">
        <f t="shared" ca="1" si="11"/>
        <v>PulseCount</v>
      </c>
      <c r="M31" s="123" t="str">
        <f t="shared" si="12"/>
        <v>YES</v>
      </c>
      <c r="N31" s="124" t="s">
        <v>512</v>
      </c>
      <c r="O31" s="124" t="s">
        <v>515</v>
      </c>
      <c r="P31" s="124" t="s">
        <v>515</v>
      </c>
    </row>
    <row r="32" spans="1:16" ht="15" customHeight="1" x14ac:dyDescent="0.2">
      <c r="A32" s="121" t="str">
        <f ca="1">'Other mappings'!$P$7</f>
        <v>Module1.pulsesPerRevolution</v>
      </c>
      <c r="B32" s="122" t="s">
        <v>323</v>
      </c>
      <c r="C32" s="122" t="s">
        <v>461</v>
      </c>
      <c r="D32" s="122">
        <v>4</v>
      </c>
      <c r="E32" s="122">
        <v>12</v>
      </c>
      <c r="F32" s="122"/>
      <c r="G32" s="122"/>
      <c r="H32" s="122" t="s">
        <v>247</v>
      </c>
      <c r="I32" s="122" t="s">
        <v>518</v>
      </c>
      <c r="J32" s="122" t="str">
        <f t="shared" ca="1" si="9"/>
        <v>ch1</v>
      </c>
      <c r="K32" s="122" t="str">
        <f t="shared" ca="1" si="10"/>
        <v>PulsesPerRev</v>
      </c>
      <c r="L32" s="122" t="str">
        <f t="shared" ca="1" si="11"/>
        <v>Pulses Per Revolution</v>
      </c>
      <c r="M32" s="123" t="str">
        <f t="shared" si="12"/>
        <v>YES</v>
      </c>
      <c r="N32" s="124" t="s">
        <v>512</v>
      </c>
      <c r="O32" s="124" t="s">
        <v>579</v>
      </c>
      <c r="P32" s="124" t="s">
        <v>580</v>
      </c>
    </row>
    <row r="33" spans="1:16" ht="15" customHeight="1" x14ac:dyDescent="0.2">
      <c r="A33" s="121" t="str">
        <f ca="1">'Other mappings'!$P$9</f>
        <v>Module2.failureMode</v>
      </c>
      <c r="B33" s="122" t="s">
        <v>323</v>
      </c>
      <c r="C33" s="122" t="s">
        <v>461</v>
      </c>
      <c r="D33" s="122">
        <v>4</v>
      </c>
      <c r="E33" s="122">
        <v>13</v>
      </c>
      <c r="F33" s="122"/>
      <c r="G33" s="122"/>
      <c r="H33" s="122" t="s">
        <v>247</v>
      </c>
      <c r="I33" s="122" t="s">
        <v>518</v>
      </c>
      <c r="J33" s="122" t="str">
        <f t="shared" ca="1" si="9"/>
        <v>ch2</v>
      </c>
      <c r="K33" s="122" t="str">
        <f t="shared" ca="1" si="10"/>
        <v>FailureMode</v>
      </c>
      <c r="L33" s="122" t="str">
        <f t="shared" ca="1" si="11"/>
        <v>FailureMode</v>
      </c>
      <c r="M33" s="123" t="str">
        <f t="shared" si="12"/>
        <v>YES</v>
      </c>
      <c r="N33" s="124" t="s">
        <v>516</v>
      </c>
      <c r="O33" s="124" t="s">
        <v>513</v>
      </c>
      <c r="P33" s="124" t="s">
        <v>513</v>
      </c>
    </row>
    <row r="34" spans="1:16" ht="15" customHeight="1" x14ac:dyDescent="0.2">
      <c r="A34" s="121" t="str">
        <f ca="1">'Other mappings'!$P$10</f>
        <v>Module2.pulseWidth</v>
      </c>
      <c r="B34" s="122" t="s">
        <v>323</v>
      </c>
      <c r="C34" s="122" t="s">
        <v>461</v>
      </c>
      <c r="D34" s="122">
        <v>4</v>
      </c>
      <c r="E34" s="122">
        <v>14</v>
      </c>
      <c r="F34" s="122"/>
      <c r="G34" s="122"/>
      <c r="H34" s="122" t="s">
        <v>247</v>
      </c>
      <c r="I34" s="122" t="s">
        <v>518</v>
      </c>
      <c r="J34" s="122" t="str">
        <f t="shared" ca="1" si="9"/>
        <v>ch2</v>
      </c>
      <c r="K34" s="122" t="str">
        <f t="shared" ca="1" si="10"/>
        <v>PulseWidth</v>
      </c>
      <c r="L34" s="122" t="str">
        <f t="shared" ca="1" si="11"/>
        <v>PulseWidth</v>
      </c>
      <c r="M34" s="123" t="str">
        <f t="shared" si="12"/>
        <v>YES</v>
      </c>
      <c r="N34" s="124" t="s">
        <v>516</v>
      </c>
      <c r="O34" s="124" t="s">
        <v>514</v>
      </c>
      <c r="P34" s="124" t="s">
        <v>514</v>
      </c>
    </row>
    <row r="35" spans="1:16" ht="15" customHeight="1" x14ac:dyDescent="0.2">
      <c r="A35" s="121" t="str">
        <f ca="1">'Other mappings'!$P$11</f>
        <v>Module2.pulseCount</v>
      </c>
      <c r="B35" s="122" t="s">
        <v>323</v>
      </c>
      <c r="C35" s="122" t="s">
        <v>461</v>
      </c>
      <c r="D35" s="122">
        <v>4</v>
      </c>
      <c r="E35" s="122">
        <v>15</v>
      </c>
      <c r="F35" s="122"/>
      <c r="G35" s="122"/>
      <c r="H35" s="122" t="s">
        <v>247</v>
      </c>
      <c r="I35" s="122" t="s">
        <v>518</v>
      </c>
      <c r="J35" s="122" t="str">
        <f t="shared" ca="1" si="9"/>
        <v>ch2</v>
      </c>
      <c r="K35" s="122" t="str">
        <f t="shared" ca="1" si="10"/>
        <v>PulseCount</v>
      </c>
      <c r="L35" s="122" t="str">
        <f t="shared" ca="1" si="11"/>
        <v>PulseCount</v>
      </c>
      <c r="M35" s="123" t="str">
        <f t="shared" si="12"/>
        <v>YES</v>
      </c>
      <c r="N35" s="124" t="s">
        <v>516</v>
      </c>
      <c r="O35" s="124" t="s">
        <v>515</v>
      </c>
      <c r="P35" s="124" t="s">
        <v>515</v>
      </c>
    </row>
    <row r="36" spans="1:16" ht="15" customHeight="1" x14ac:dyDescent="0.2">
      <c r="A36" s="121" t="str">
        <f ca="1">'Other mappings'!$P$12</f>
        <v>Module2.pulsesPerRevolution</v>
      </c>
      <c r="B36" s="122" t="s">
        <v>323</v>
      </c>
      <c r="C36" s="122" t="s">
        <v>461</v>
      </c>
      <c r="D36" s="122">
        <v>4</v>
      </c>
      <c r="E36" s="122">
        <v>16</v>
      </c>
      <c r="F36" s="122"/>
      <c r="G36" s="122"/>
      <c r="H36" s="122" t="s">
        <v>247</v>
      </c>
      <c r="I36" s="122" t="s">
        <v>518</v>
      </c>
      <c r="J36" s="122" t="str">
        <f t="shared" ca="1" si="9"/>
        <v>ch2</v>
      </c>
      <c r="K36" s="122" t="str">
        <f t="shared" ca="1" si="10"/>
        <v>PulsesPerRev</v>
      </c>
      <c r="L36" s="122" t="str">
        <f t="shared" ca="1" si="11"/>
        <v>Pulses Per Revolution</v>
      </c>
      <c r="M36" s="123" t="str">
        <f t="shared" si="12"/>
        <v>YES</v>
      </c>
      <c r="N36" s="124" t="s">
        <v>516</v>
      </c>
      <c r="O36" s="124" t="s">
        <v>579</v>
      </c>
      <c r="P36" s="124" t="s">
        <v>580</v>
      </c>
    </row>
    <row r="37" spans="1:16" ht="15" customHeight="1" x14ac:dyDescent="0.2">
      <c r="A37" s="121"/>
      <c r="B37" s="122" t="s">
        <v>323</v>
      </c>
      <c r="C37" s="122" t="s">
        <v>461</v>
      </c>
      <c r="D37" s="122">
        <v>4</v>
      </c>
      <c r="E37" s="122">
        <v>17</v>
      </c>
      <c r="F37" s="122"/>
      <c r="G37" s="122"/>
      <c r="H37" s="122" t="s">
        <v>247</v>
      </c>
      <c r="I37" s="122" t="s">
        <v>518</v>
      </c>
      <c r="J37" s="122" t="str">
        <f ca="1">IF(NOT(INDIRECT("N"&amp;ROW())=""),IF(INDIRECT("M"&amp;ROW())="Yes",INDIRECT("N"&amp;ROW()),""),"")</f>
        <v>ch3</v>
      </c>
      <c r="K37" s="122" t="str">
        <f ca="1">IF(NOT(INDIRECT("O"&amp;ROW())=""),IF(INDIRECT("M"&amp;ROW())="Yes",INDIRECT("O"&amp;ROW()),""),"")</f>
        <v>FailureMode</v>
      </c>
      <c r="L37" s="122" t="str">
        <f ca="1">IF(NOT(INDIRECT("P"&amp;ROW())=""),INDIRECT("P"&amp;ROW()),"")</f>
        <v>FailureMode</v>
      </c>
      <c r="M37" s="123" t="str">
        <f>"YES"</f>
        <v>YES</v>
      </c>
      <c r="N37" s="124" t="s">
        <v>517</v>
      </c>
      <c r="O37" s="124" t="s">
        <v>513</v>
      </c>
      <c r="P37" s="124" t="s">
        <v>513</v>
      </c>
    </row>
    <row r="38" spans="1:16" ht="15" customHeight="1" x14ac:dyDescent="0.2">
      <c r="A38" s="121"/>
      <c r="B38" s="122" t="s">
        <v>323</v>
      </c>
      <c r="C38" s="122" t="s">
        <v>461</v>
      </c>
      <c r="D38" s="122">
        <v>4</v>
      </c>
      <c r="E38" s="122">
        <v>18</v>
      </c>
      <c r="F38" s="122"/>
      <c r="G38" s="122"/>
      <c r="H38" s="122" t="s">
        <v>247</v>
      </c>
      <c r="I38" s="122" t="s">
        <v>518</v>
      </c>
      <c r="J38" s="122" t="str">
        <f t="shared" ref="J38:J40" ca="1" si="13">IF(NOT(INDIRECT("N"&amp;ROW())=""),IF(INDIRECT("M"&amp;ROW())="Yes",INDIRECT("N"&amp;ROW()),""),"")</f>
        <v>ch4</v>
      </c>
      <c r="K38" s="122" t="str">
        <f t="shared" ref="K38:K40" ca="1" si="14">IF(NOT(INDIRECT("O"&amp;ROW())=""),IF(INDIRECT("M"&amp;ROW())="Yes",INDIRECT("O"&amp;ROW()),""),"")</f>
        <v>PulseWidth</v>
      </c>
      <c r="L38" s="122" t="str">
        <f t="shared" ref="L38:L40" ca="1" si="15">IF(NOT(INDIRECT("P"&amp;ROW())=""),INDIRECT("P"&amp;ROW()),"")</f>
        <v>PulseWidth</v>
      </c>
      <c r="M38" s="123" t="str">
        <f t="shared" ref="M38:M40" si="16">"YES"</f>
        <v>YES</v>
      </c>
      <c r="N38" s="124" t="s">
        <v>667</v>
      </c>
      <c r="O38" s="124" t="s">
        <v>514</v>
      </c>
      <c r="P38" s="124" t="s">
        <v>514</v>
      </c>
    </row>
    <row r="39" spans="1:16" ht="15" customHeight="1" x14ac:dyDescent="0.2">
      <c r="A39" s="121"/>
      <c r="B39" s="122" t="s">
        <v>323</v>
      </c>
      <c r="C39" s="122" t="s">
        <v>461</v>
      </c>
      <c r="D39" s="122">
        <v>4</v>
      </c>
      <c r="E39" s="122">
        <v>19</v>
      </c>
      <c r="F39" s="122"/>
      <c r="G39" s="122"/>
      <c r="H39" s="122" t="s">
        <v>247</v>
      </c>
      <c r="I39" s="122" t="s">
        <v>518</v>
      </c>
      <c r="J39" s="122" t="str">
        <f t="shared" ca="1" si="13"/>
        <v>ch5</v>
      </c>
      <c r="K39" s="122" t="str">
        <f t="shared" ca="1" si="14"/>
        <v>PulseCount</v>
      </c>
      <c r="L39" s="122" t="str">
        <f t="shared" ca="1" si="15"/>
        <v>PulseCount</v>
      </c>
      <c r="M39" s="123" t="str">
        <f t="shared" si="16"/>
        <v>YES</v>
      </c>
      <c r="N39" s="124" t="s">
        <v>668</v>
      </c>
      <c r="O39" s="124" t="s">
        <v>515</v>
      </c>
      <c r="P39" s="124" t="s">
        <v>515</v>
      </c>
    </row>
    <row r="40" spans="1:16" ht="15" customHeight="1" x14ac:dyDescent="0.2">
      <c r="A40" s="121"/>
      <c r="B40" s="122" t="s">
        <v>323</v>
      </c>
      <c r="C40" s="122" t="s">
        <v>461</v>
      </c>
      <c r="D40" s="122">
        <v>4</v>
      </c>
      <c r="E40" s="122">
        <v>20</v>
      </c>
      <c r="F40" s="122"/>
      <c r="G40" s="122"/>
      <c r="H40" s="122" t="s">
        <v>247</v>
      </c>
      <c r="I40" s="122" t="s">
        <v>518</v>
      </c>
      <c r="J40" s="122" t="str">
        <f t="shared" ca="1" si="13"/>
        <v>ch6</v>
      </c>
      <c r="K40" s="122" t="str">
        <f t="shared" ca="1" si="14"/>
        <v>PulsesPerRev</v>
      </c>
      <c r="L40" s="122" t="str">
        <f t="shared" ca="1" si="15"/>
        <v>Pulses Per Revolution</v>
      </c>
      <c r="M40" s="123" t="str">
        <f t="shared" si="16"/>
        <v>YES</v>
      </c>
      <c r="N40" s="124" t="s">
        <v>669</v>
      </c>
      <c r="O40" s="124" t="s">
        <v>579</v>
      </c>
      <c r="P40" s="124" t="s">
        <v>580</v>
      </c>
    </row>
  </sheetData>
  <dataConsolidate/>
  <mergeCells count="6">
    <mergeCell ref="N1:AG1"/>
    <mergeCell ref="A3:M3"/>
    <mergeCell ref="A1:A2"/>
    <mergeCell ref="B1:C1"/>
    <mergeCell ref="D1:I1"/>
    <mergeCell ref="J1:L1"/>
  </mergeCells>
  <phoneticPr fontId="17" type="noConversion"/>
  <dataValidations count="3">
    <dataValidation type="list" allowBlank="1" showErrorMessage="1" errorTitle="Value not found." error="Only values that can be chosen from the drop-down-list are allowed!" sqref="G4:G40">
      <formula1>"BigEndian,LittleEndian"</formula1>
    </dataValidation>
    <dataValidation type="list" allowBlank="1" showErrorMessage="1" errorTitle="Value not found." error="Only values that can be chosen from the drop-down-list are allowed!" sqref="H4:H40">
      <formula1>"Bit,Uint16,Int16,Uint32,Int32,Float"</formula1>
    </dataValidation>
    <dataValidation type="list" allowBlank="1" showErrorMessage="1" errorTitle="Value not found." error="Only values that can be chosen from the drop-down-list are allowed!" sqref="B4:B40">
      <formula1>"mbTcpMaster"</formula1>
    </dataValidation>
  </dataValidations>
  <printOptions gridLines="1"/>
  <pageMargins left="0.74803149606299213" right="0.74803149606299213" top="0.19685039370078741" bottom="0.19685039370078741" header="0.51181102362204722" footer="0.51181102362204722"/>
  <pageSetup paperSize="9" scale="31" fitToHeight="0"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7"/>
  <sheetViews>
    <sheetView zoomScale="85" zoomScaleNormal="85" workbookViewId="0">
      <pane ySplit="1" topLeftCell="A2" activePane="bottomLeft" state="frozen"/>
      <selection pane="bottomLeft" activeCell="A2" sqref="A2"/>
    </sheetView>
  </sheetViews>
  <sheetFormatPr defaultRowHeight="12.75" x14ac:dyDescent="0.2"/>
  <cols>
    <col min="1" max="1" width="18.7109375" customWidth="1"/>
    <col min="2" max="2" width="9.7109375" customWidth="1"/>
    <col min="3" max="3" width="9.7109375" style="54" customWidth="1"/>
    <col min="4" max="4" width="10.7109375" style="54" customWidth="1"/>
    <col min="5" max="6" width="20.7109375" style="59" customWidth="1"/>
    <col min="7" max="7" width="14.7109375" style="54" customWidth="1"/>
    <col min="8" max="9" width="10.7109375" style="54" customWidth="1"/>
    <col min="10" max="17" width="11.7109375" style="54" customWidth="1"/>
    <col min="18" max="19" width="10.7109375" customWidth="1"/>
    <col min="20" max="24" width="11.7109375" customWidth="1"/>
  </cols>
  <sheetData>
    <row r="1" spans="1:24" s="117" customFormat="1" ht="72.75" customHeight="1" thickBot="1" x14ac:dyDescent="0.25">
      <c r="A1" s="112" t="s">
        <v>255</v>
      </c>
      <c r="B1" s="112" t="s">
        <v>265</v>
      </c>
      <c r="C1" s="112" t="s">
        <v>266</v>
      </c>
      <c r="D1" s="112" t="s">
        <v>261</v>
      </c>
      <c r="E1" s="114" t="s">
        <v>233</v>
      </c>
      <c r="F1" s="115" t="s">
        <v>251</v>
      </c>
      <c r="G1" s="112" t="s">
        <v>252</v>
      </c>
      <c r="H1" s="112" t="s">
        <v>253</v>
      </c>
      <c r="I1" s="112" t="s">
        <v>234</v>
      </c>
      <c r="J1" s="112" t="s">
        <v>235</v>
      </c>
      <c r="K1" s="112" t="s">
        <v>260</v>
      </c>
      <c r="L1" s="116" t="s">
        <v>254</v>
      </c>
      <c r="M1" s="112" t="s">
        <v>236</v>
      </c>
      <c r="N1" s="112" t="s">
        <v>237</v>
      </c>
      <c r="O1" s="112" t="s">
        <v>238</v>
      </c>
      <c r="P1" s="112" t="s">
        <v>239</v>
      </c>
      <c r="Q1" s="112" t="s">
        <v>240</v>
      </c>
      <c r="R1" s="112" t="s">
        <v>241</v>
      </c>
      <c r="S1" s="112" t="s">
        <v>205</v>
      </c>
      <c r="T1" s="112" t="s">
        <v>256</v>
      </c>
      <c r="U1" s="112" t="s">
        <v>257</v>
      </c>
      <c r="V1" s="112" t="s">
        <v>258</v>
      </c>
      <c r="W1" s="112" t="s">
        <v>259</v>
      </c>
      <c r="X1" s="112" t="s">
        <v>242</v>
      </c>
    </row>
    <row r="2" spans="1:24" s="66" customFormat="1" ht="26.25" thickBot="1" x14ac:dyDescent="0.25">
      <c r="A2" s="84" t="s">
        <v>463</v>
      </c>
      <c r="B2" s="79" t="s">
        <v>262</v>
      </c>
      <c r="C2" s="22"/>
      <c r="D2" s="22"/>
      <c r="E2" s="22"/>
      <c r="F2" s="22"/>
      <c r="G2" s="23" t="e">
        <f>'Driver config'!#REF!</f>
        <v>#REF!</v>
      </c>
      <c r="H2" s="23" t="e">
        <f>'Driver config'!#REF!</f>
        <v>#REF!</v>
      </c>
      <c r="I2" s="22"/>
      <c r="J2" s="22"/>
      <c r="K2" s="22"/>
      <c r="L2" s="22"/>
      <c r="M2" s="22"/>
      <c r="N2" s="22"/>
      <c r="O2" s="22"/>
      <c r="P2" s="22"/>
      <c r="Q2" s="22"/>
      <c r="R2" s="22"/>
      <c r="S2" s="22"/>
      <c r="T2" s="22"/>
      <c r="U2" s="22"/>
      <c r="V2" s="22"/>
      <c r="W2" s="22"/>
      <c r="X2" s="22"/>
    </row>
    <row r="3" spans="1:24" s="66" customFormat="1" x14ac:dyDescent="0.2">
      <c r="A3" s="137" t="s">
        <v>307</v>
      </c>
      <c r="B3" s="76" t="str">
        <f ca="1">TEXT(OFFSET(B3,-1,0),"")</f>
        <v>rack1</v>
      </c>
      <c r="C3" s="25" t="s">
        <v>316</v>
      </c>
      <c r="D3" s="26" t="s">
        <v>243</v>
      </c>
      <c r="E3" s="27"/>
      <c r="F3" s="27"/>
      <c r="G3" s="55" t="e">
        <f ca="1">TEXT(OFFSET(G3,-1,0),"")</f>
        <v>#REF!</v>
      </c>
      <c r="H3" s="55" t="e">
        <f ca="1">TEXT(OFFSET(H3,-1,0),"")</f>
        <v>#REF!</v>
      </c>
      <c r="I3" s="24">
        <f ca="1">OFFSET(I3,-1,0)+1</f>
        <v>1</v>
      </c>
      <c r="J3" s="28">
        <v>1</v>
      </c>
      <c r="K3" s="28">
        <v>1</v>
      </c>
      <c r="L3" s="28" t="s">
        <v>308</v>
      </c>
      <c r="M3" s="24">
        <v>0</v>
      </c>
      <c r="N3" s="24">
        <v>1</v>
      </c>
      <c r="O3" s="24">
        <v>0</v>
      </c>
      <c r="P3" s="24">
        <v>1</v>
      </c>
      <c r="Q3" s="28"/>
      <c r="R3" s="29" t="s">
        <v>3</v>
      </c>
      <c r="S3" s="30">
        <v>1</v>
      </c>
      <c r="T3" s="60">
        <f ca="1">IF($S3=0,OFFSET(T3,-1,0)+1,OFFSET(T3,-1,0))</f>
        <v>0</v>
      </c>
      <c r="U3" s="60">
        <f ca="1">IF($S3=1,OFFSET(U3,-1,0)+1,OFFSET(U3,-1,0))</f>
        <v>1</v>
      </c>
      <c r="V3" s="60">
        <f ca="1">IF($S3=3,OFFSET(V3,-1,0)+1,OFFSET(V3,-1,0))</f>
        <v>0</v>
      </c>
      <c r="W3" s="60">
        <f ca="1">IF($S3=4,OFFSET(W3,-1,0)+1,OFFSET(W3,-1,0))</f>
        <v>0</v>
      </c>
      <c r="X3" s="61">
        <f ca="1">IF(S3=0,T3,IF(S3=1,U3,IF(S3=3,V3,IF(S3=4,W3))))</f>
        <v>1</v>
      </c>
    </row>
    <row r="4" spans="1:24" s="66" customFormat="1" x14ac:dyDescent="0.2">
      <c r="A4" s="138"/>
      <c r="B4" s="77" t="str">
        <f t="shared" ref="B4:B6" ca="1" si="0">TEXT(OFFSET(B4,-1,0),"")</f>
        <v>rack1</v>
      </c>
      <c r="C4" s="25" t="s">
        <v>317</v>
      </c>
      <c r="D4" s="26" t="s">
        <v>243</v>
      </c>
      <c r="E4" s="27"/>
      <c r="F4" s="27"/>
      <c r="G4" s="55" t="e">
        <f t="shared" ref="G4:H6" ca="1" si="1">TEXT(OFFSET(G4,-1,0),"")</f>
        <v>#REF!</v>
      </c>
      <c r="H4" s="55" t="e">
        <f t="shared" ca="1" si="1"/>
        <v>#REF!</v>
      </c>
      <c r="I4" s="24">
        <f ca="1">OFFSET(I4,-1,0)</f>
        <v>1</v>
      </c>
      <c r="J4" s="28">
        <v>2</v>
      </c>
      <c r="K4" s="28">
        <v>5</v>
      </c>
      <c r="L4" s="28" t="s">
        <v>309</v>
      </c>
      <c r="M4" s="28">
        <v>0</v>
      </c>
      <c r="N4" s="28">
        <v>1</v>
      </c>
      <c r="O4" s="28">
        <v>0</v>
      </c>
      <c r="P4" s="28">
        <v>1</v>
      </c>
      <c r="Q4" s="28"/>
      <c r="R4" s="28" t="s">
        <v>3</v>
      </c>
      <c r="S4" s="30">
        <v>1</v>
      </c>
      <c r="T4" s="31">
        <f t="shared" ref="T4:T6" ca="1" si="2">IF($S4=0,OFFSET(T4,-1,0)+1,OFFSET(T4,-1,0))</f>
        <v>0</v>
      </c>
      <c r="U4" s="31">
        <f t="shared" ref="U4:U6" ca="1" si="3">IF($S4=1,OFFSET(U4,-1,0)+1,OFFSET(U4,-1,0))</f>
        <v>2</v>
      </c>
      <c r="V4" s="31">
        <f t="shared" ref="V4:V6" ca="1" si="4">IF($S4=3,OFFSET(V4,-1,0)+1,OFFSET(V4,-1,0))</f>
        <v>0</v>
      </c>
      <c r="W4" s="31">
        <f t="shared" ref="W4:W6" ca="1" si="5">IF($S4=4,OFFSET(W4,-1,0)+1,OFFSET(W4,-1,0))</f>
        <v>0</v>
      </c>
      <c r="X4" s="64">
        <f ca="1">IF(S4=0,T4,IF(S4=1,U4,IF(S4=3,V4,IF(S4=4,W4))))</f>
        <v>2</v>
      </c>
    </row>
    <row r="5" spans="1:24" s="66" customFormat="1" x14ac:dyDescent="0.2">
      <c r="A5" s="138"/>
      <c r="B5" s="77" t="str">
        <f t="shared" ca="1" si="0"/>
        <v>rack1</v>
      </c>
      <c r="C5" s="25" t="s">
        <v>318</v>
      </c>
      <c r="D5" s="26" t="s">
        <v>243</v>
      </c>
      <c r="E5" s="27"/>
      <c r="F5" s="27"/>
      <c r="G5" s="55" t="e">
        <f t="shared" ca="1" si="1"/>
        <v>#REF!</v>
      </c>
      <c r="H5" s="55" t="e">
        <f t="shared" ca="1" si="1"/>
        <v>#REF!</v>
      </c>
      <c r="I5" s="24">
        <f ca="1">OFFSET(I5,-1,0)</f>
        <v>1</v>
      </c>
      <c r="J5" s="28">
        <v>3</v>
      </c>
      <c r="K5" s="28">
        <v>4</v>
      </c>
      <c r="L5" s="28" t="s">
        <v>310</v>
      </c>
      <c r="M5" s="28">
        <v>0</v>
      </c>
      <c r="N5" s="28">
        <v>1</v>
      </c>
      <c r="O5" s="28">
        <v>0</v>
      </c>
      <c r="P5" s="28">
        <v>1</v>
      </c>
      <c r="Q5" s="28"/>
      <c r="R5" s="28" t="s">
        <v>3</v>
      </c>
      <c r="S5" s="30">
        <v>1</v>
      </c>
      <c r="T5" s="31">
        <f t="shared" ca="1" si="2"/>
        <v>0</v>
      </c>
      <c r="U5" s="31">
        <f t="shared" ca="1" si="3"/>
        <v>3</v>
      </c>
      <c r="V5" s="31">
        <f t="shared" ca="1" si="4"/>
        <v>0</v>
      </c>
      <c r="W5" s="31">
        <f t="shared" ca="1" si="5"/>
        <v>0</v>
      </c>
      <c r="X5" s="64">
        <f t="shared" ref="X5:X6" ca="1" si="6">IF(S5=0,T5,IF(S5=1,U5,IF(S5=3,V5,IF(S5=4,W5))))</f>
        <v>3</v>
      </c>
    </row>
    <row r="6" spans="1:24" s="66" customFormat="1" ht="13.5" thickBot="1" x14ac:dyDescent="0.25">
      <c r="A6" s="139"/>
      <c r="B6" s="83" t="str">
        <f t="shared" ca="1" si="0"/>
        <v>rack1</v>
      </c>
      <c r="C6" s="33" t="s">
        <v>319</v>
      </c>
      <c r="D6" s="34" t="s">
        <v>243</v>
      </c>
      <c r="E6" s="35"/>
      <c r="F6" s="35"/>
      <c r="G6" s="58" t="e">
        <f t="shared" ca="1" si="1"/>
        <v>#REF!</v>
      </c>
      <c r="H6" s="58" t="e">
        <f t="shared" ca="1" si="1"/>
        <v>#REF!</v>
      </c>
      <c r="I6" s="32">
        <f ca="1">OFFSET(I6,-1,0)</f>
        <v>1</v>
      </c>
      <c r="J6" s="32">
        <v>4</v>
      </c>
      <c r="K6" s="32">
        <v>8</v>
      </c>
      <c r="L6" s="32" t="s">
        <v>311</v>
      </c>
      <c r="M6" s="32">
        <v>0</v>
      </c>
      <c r="N6" s="32">
        <v>1</v>
      </c>
      <c r="O6" s="32">
        <v>0</v>
      </c>
      <c r="P6" s="32">
        <v>1</v>
      </c>
      <c r="Q6" s="32"/>
      <c r="R6" s="32" t="s">
        <v>3</v>
      </c>
      <c r="S6" s="36">
        <v>1</v>
      </c>
      <c r="T6" s="37">
        <f t="shared" ca="1" si="2"/>
        <v>0</v>
      </c>
      <c r="U6" s="37">
        <f t="shared" ca="1" si="3"/>
        <v>4</v>
      </c>
      <c r="V6" s="37">
        <f t="shared" ca="1" si="4"/>
        <v>0</v>
      </c>
      <c r="W6" s="37">
        <f t="shared" ca="1" si="5"/>
        <v>0</v>
      </c>
      <c r="X6" s="65">
        <f t="shared" ca="1" si="6"/>
        <v>4</v>
      </c>
    </row>
    <row r="7" spans="1:24" x14ac:dyDescent="0.2">
      <c r="B7" s="62"/>
      <c r="C7" s="86"/>
    </row>
  </sheetData>
  <dataConsolidate/>
  <mergeCells count="1">
    <mergeCell ref="A3:A6"/>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X135"/>
  <sheetViews>
    <sheetView zoomScale="85" zoomScaleNormal="85" workbookViewId="0">
      <pane ySplit="4" topLeftCell="A98" activePane="bottomLeft" state="frozen"/>
      <selection pane="bottomLeft" activeCell="L133" sqref="L133"/>
    </sheetView>
  </sheetViews>
  <sheetFormatPr defaultRowHeight="12.75" x14ac:dyDescent="0.2"/>
  <cols>
    <col min="1" max="1" width="18.7109375" style="54" customWidth="1"/>
    <col min="2" max="2" width="9.7109375" style="54" customWidth="1"/>
    <col min="3" max="3" width="9.7109375" customWidth="1"/>
    <col min="4" max="4" width="10.7109375" style="54" customWidth="1"/>
    <col min="5" max="6" width="20.7109375" style="54" customWidth="1"/>
    <col min="7" max="7" width="14.7109375" style="54" customWidth="1"/>
    <col min="8" max="9" width="10.7109375" style="54" customWidth="1"/>
    <col min="10" max="12" width="11.7109375" style="54" customWidth="1"/>
    <col min="13" max="17" width="11.7109375" customWidth="1"/>
    <col min="18" max="19" width="10.7109375" customWidth="1"/>
    <col min="20" max="24" width="11.7109375" customWidth="1"/>
  </cols>
  <sheetData>
    <row r="2" spans="1:24" x14ac:dyDescent="0.2">
      <c r="A2" s="118" t="s">
        <v>230</v>
      </c>
      <c r="B2" s="21"/>
      <c r="C2" s="21"/>
      <c r="D2" s="21"/>
      <c r="E2" s="21"/>
      <c r="F2" s="21"/>
      <c r="G2" s="21"/>
      <c r="H2" s="21"/>
      <c r="I2" s="21"/>
      <c r="J2" s="21"/>
      <c r="K2" s="21"/>
      <c r="L2" s="21"/>
      <c r="M2" s="21"/>
      <c r="N2" s="21"/>
      <c r="O2" s="21"/>
      <c r="P2" s="21"/>
      <c r="Q2" s="21"/>
      <c r="R2" s="21"/>
      <c r="S2" s="21"/>
      <c r="T2" s="21"/>
      <c r="U2" s="21"/>
      <c r="V2" s="21"/>
      <c r="W2" s="21"/>
      <c r="X2" s="21"/>
    </row>
    <row r="4" spans="1:24" s="113" customFormat="1" ht="63.75" thickBot="1" x14ac:dyDescent="0.25">
      <c r="A4" s="111" t="s">
        <v>231</v>
      </c>
      <c r="B4" s="110" t="s">
        <v>265</v>
      </c>
      <c r="C4" s="112" t="s">
        <v>266</v>
      </c>
      <c r="D4" s="110" t="s">
        <v>232</v>
      </c>
      <c r="E4" s="110" t="s">
        <v>233</v>
      </c>
      <c r="F4" s="110" t="s">
        <v>251</v>
      </c>
      <c r="G4" s="112" t="s">
        <v>252</v>
      </c>
      <c r="H4" s="112" t="s">
        <v>253</v>
      </c>
      <c r="I4" s="110" t="s">
        <v>234</v>
      </c>
      <c r="J4" s="110" t="s">
        <v>235</v>
      </c>
      <c r="K4" s="110" t="s">
        <v>312</v>
      </c>
      <c r="L4" s="110" t="s">
        <v>313</v>
      </c>
      <c r="M4" s="110" t="s">
        <v>236</v>
      </c>
      <c r="N4" s="110" t="s">
        <v>237</v>
      </c>
      <c r="O4" s="110" t="s">
        <v>238</v>
      </c>
      <c r="P4" s="110" t="s">
        <v>239</v>
      </c>
      <c r="Q4" s="110" t="s">
        <v>240</v>
      </c>
      <c r="R4" s="110" t="s">
        <v>241</v>
      </c>
      <c r="S4" s="110" t="s">
        <v>205</v>
      </c>
      <c r="T4" s="110" t="s">
        <v>256</v>
      </c>
      <c r="U4" s="110" t="s">
        <v>257</v>
      </c>
      <c r="V4" s="110" t="s">
        <v>258</v>
      </c>
      <c r="W4" s="110" t="s">
        <v>259</v>
      </c>
      <c r="X4" s="110" t="s">
        <v>242</v>
      </c>
    </row>
    <row r="5" spans="1:24" ht="26.25" thickBot="1" x14ac:dyDescent="0.25">
      <c r="A5" s="80" t="s">
        <v>464</v>
      </c>
      <c r="B5" s="79" t="s">
        <v>262</v>
      </c>
      <c r="C5" s="22"/>
      <c r="D5" s="22"/>
      <c r="E5" s="22"/>
      <c r="F5" s="22"/>
      <c r="G5" s="23" t="s">
        <v>462</v>
      </c>
      <c r="H5" s="23" t="s">
        <v>461</v>
      </c>
      <c r="I5" s="22"/>
      <c r="J5" s="22"/>
      <c r="K5" s="22"/>
      <c r="L5" s="22"/>
      <c r="M5" s="22"/>
      <c r="N5" s="22"/>
      <c r="O5" s="22"/>
      <c r="P5" s="22"/>
      <c r="Q5" s="22"/>
      <c r="R5" s="22"/>
      <c r="S5" s="22"/>
      <c r="T5" s="22"/>
      <c r="U5" s="22"/>
      <c r="V5" s="22"/>
      <c r="W5" s="22"/>
      <c r="X5" s="22"/>
    </row>
    <row r="6" spans="1:24" x14ac:dyDescent="0.2">
      <c r="A6" s="137" t="s">
        <v>307</v>
      </c>
      <c r="B6" s="76" t="str">
        <f ca="1">TEXT(OFFSET(B6,-1,0),"")</f>
        <v>rack1</v>
      </c>
      <c r="C6" s="25"/>
      <c r="D6" s="26" t="s">
        <v>243</v>
      </c>
      <c r="E6" s="27"/>
      <c r="F6" s="27"/>
      <c r="G6" s="55" t="str">
        <f ca="1">TEXT(OFFSET(G6,-1,0),"")</f>
        <v>wagoRack</v>
      </c>
      <c r="H6" s="55" t="str">
        <f ca="1">TEXT(OFFSET(H6,-1,0),"")</f>
        <v>node</v>
      </c>
      <c r="I6" s="24">
        <f ca="1">OFFSET(I6,-1,0)+1</f>
        <v>1</v>
      </c>
      <c r="J6" s="28">
        <v>1</v>
      </c>
      <c r="K6" s="28">
        <v>1</v>
      </c>
      <c r="L6" s="28" t="s">
        <v>308</v>
      </c>
      <c r="M6" s="24">
        <v>0</v>
      </c>
      <c r="N6" s="24">
        <v>1</v>
      </c>
      <c r="O6" s="24">
        <v>0</v>
      </c>
      <c r="P6" s="24">
        <v>1</v>
      </c>
      <c r="Q6" s="28"/>
      <c r="R6" s="29" t="s">
        <v>3</v>
      </c>
      <c r="S6" s="30">
        <v>1</v>
      </c>
      <c r="T6" s="60">
        <f ca="1">IF($S6=0,OFFSET(T6,-1,0)+1,OFFSET(T6,-1,0))</f>
        <v>0</v>
      </c>
      <c r="U6" s="60">
        <f ca="1">IF($S6=1,OFFSET(U6,-1,0)+1,OFFSET(U6,-1,0))</f>
        <v>1</v>
      </c>
      <c r="V6" s="60">
        <f ca="1">IF($S6=3,OFFSET(V6,-1,0)+1,OFFSET(V6,-1,0))</f>
        <v>0</v>
      </c>
      <c r="W6" s="60">
        <f ca="1">IF($S6=4,OFFSET(W6,-1,0)+1,OFFSET(W6,-1,0))</f>
        <v>0</v>
      </c>
      <c r="X6" s="61">
        <f ca="1">IF(S6=0,T6,IF(S6=1,U6,IF(S6=3,V6,IF(S6=4,W6))))</f>
        <v>1</v>
      </c>
    </row>
    <row r="7" spans="1:24" x14ac:dyDescent="0.2">
      <c r="A7" s="138"/>
      <c r="B7" s="77" t="str">
        <f t="shared" ref="B7:B112" ca="1" si="0">TEXT(OFFSET(B7,-1,0),"")</f>
        <v>rack1</v>
      </c>
      <c r="C7" s="25"/>
      <c r="D7" s="26" t="s">
        <v>243</v>
      </c>
      <c r="E7" s="27"/>
      <c r="F7" s="27"/>
      <c r="G7" s="55" t="str">
        <f t="shared" ref="G7:H112" ca="1" si="1">TEXT(OFFSET(G7,-1,0),"")</f>
        <v>wagoRack</v>
      </c>
      <c r="H7" s="55" t="str">
        <f t="shared" ca="1" si="1"/>
        <v>node</v>
      </c>
      <c r="I7" s="24">
        <f ca="1">OFFSET(I7,-1,0)</f>
        <v>1</v>
      </c>
      <c r="J7" s="28">
        <v>2</v>
      </c>
      <c r="K7" s="28">
        <v>5</v>
      </c>
      <c r="L7" s="28" t="s">
        <v>309</v>
      </c>
      <c r="M7" s="28">
        <v>0</v>
      </c>
      <c r="N7" s="28">
        <v>1</v>
      </c>
      <c r="O7" s="28">
        <v>0</v>
      </c>
      <c r="P7" s="28">
        <v>1</v>
      </c>
      <c r="Q7" s="28"/>
      <c r="R7" s="28" t="s">
        <v>3</v>
      </c>
      <c r="S7" s="30">
        <v>1</v>
      </c>
      <c r="T7" s="31">
        <f t="shared" ref="T7:T108" ca="1" si="2">IF($S7=0,OFFSET(T7,-1,0)+1,OFFSET(T7,-1,0))</f>
        <v>0</v>
      </c>
      <c r="U7" s="31">
        <f t="shared" ref="U7:U108" ca="1" si="3">IF($S7=1,OFFSET(U7,-1,0)+1,OFFSET(U7,-1,0))</f>
        <v>2</v>
      </c>
      <c r="V7" s="31">
        <f t="shared" ref="V7:V108" ca="1" si="4">IF($S7=3,OFFSET(V7,-1,0)+1,OFFSET(V7,-1,0))</f>
        <v>0</v>
      </c>
      <c r="W7" s="31">
        <f t="shared" ref="W7:W108" ca="1" si="5">IF($S7=4,OFFSET(W7,-1,0)+1,OFFSET(W7,-1,0))</f>
        <v>0</v>
      </c>
      <c r="X7" s="64">
        <f ca="1">IF(S7=0,T7,IF(S7=1,U7,IF(S7=3,V7,IF(S7=4,W7))))</f>
        <v>2</v>
      </c>
    </row>
    <row r="8" spans="1:24" x14ac:dyDescent="0.2">
      <c r="A8" s="138"/>
      <c r="B8" s="77" t="str">
        <f t="shared" ca="1" si="0"/>
        <v>rack1</v>
      </c>
      <c r="C8" s="25"/>
      <c r="D8" s="26" t="s">
        <v>243</v>
      </c>
      <c r="E8" s="27"/>
      <c r="F8" s="27"/>
      <c r="G8" s="55" t="str">
        <f t="shared" ca="1" si="1"/>
        <v>wagoRack</v>
      </c>
      <c r="H8" s="55" t="str">
        <f t="shared" ca="1" si="1"/>
        <v>node</v>
      </c>
      <c r="I8" s="24">
        <f ca="1">OFFSET(I8,-1,0)</f>
        <v>1</v>
      </c>
      <c r="J8" s="28">
        <v>3</v>
      </c>
      <c r="K8" s="28">
        <v>4</v>
      </c>
      <c r="L8" s="28" t="s">
        <v>310</v>
      </c>
      <c r="M8" s="28">
        <v>0</v>
      </c>
      <c r="N8" s="28">
        <v>1</v>
      </c>
      <c r="O8" s="28">
        <v>0</v>
      </c>
      <c r="P8" s="28">
        <v>1</v>
      </c>
      <c r="Q8" s="28"/>
      <c r="R8" s="28" t="s">
        <v>3</v>
      </c>
      <c r="S8" s="30">
        <v>1</v>
      </c>
      <c r="T8" s="31">
        <f t="shared" ca="1" si="2"/>
        <v>0</v>
      </c>
      <c r="U8" s="31">
        <f t="shared" ca="1" si="3"/>
        <v>3</v>
      </c>
      <c r="V8" s="31">
        <f t="shared" ca="1" si="4"/>
        <v>0</v>
      </c>
      <c r="W8" s="31">
        <f t="shared" ca="1" si="5"/>
        <v>0</v>
      </c>
      <c r="X8" s="64">
        <f t="shared" ref="X8:X109" ca="1" si="6">IF(S8=0,T8,IF(S8=1,U8,IF(S8=3,V8,IF(S8=4,W8))))</f>
        <v>3</v>
      </c>
    </row>
    <row r="9" spans="1:24" ht="13.5" thickBot="1" x14ac:dyDescent="0.25">
      <c r="A9" s="139"/>
      <c r="B9" s="78" t="str">
        <f t="shared" ca="1" si="0"/>
        <v>rack1</v>
      </c>
      <c r="C9" s="33"/>
      <c r="D9" s="34" t="s">
        <v>243</v>
      </c>
      <c r="E9" s="35"/>
      <c r="F9" s="35"/>
      <c r="G9" s="58" t="str">
        <f t="shared" ca="1" si="1"/>
        <v>wagoRack</v>
      </c>
      <c r="H9" s="58" t="str">
        <f t="shared" ca="1" si="1"/>
        <v>node</v>
      </c>
      <c r="I9" s="32">
        <f ca="1">OFFSET(I9,-1,0)</f>
        <v>1</v>
      </c>
      <c r="J9" s="32">
        <v>4</v>
      </c>
      <c r="K9" s="32">
        <v>8</v>
      </c>
      <c r="L9" s="32" t="s">
        <v>311</v>
      </c>
      <c r="M9" s="32">
        <v>0</v>
      </c>
      <c r="N9" s="32">
        <v>1</v>
      </c>
      <c r="O9" s="32">
        <v>0</v>
      </c>
      <c r="P9" s="32">
        <v>1</v>
      </c>
      <c r="Q9" s="32"/>
      <c r="R9" s="32" t="s">
        <v>3</v>
      </c>
      <c r="S9" s="36">
        <v>1</v>
      </c>
      <c r="T9" s="37">
        <f t="shared" ca="1" si="2"/>
        <v>0</v>
      </c>
      <c r="U9" s="37">
        <f t="shared" ca="1" si="3"/>
        <v>4</v>
      </c>
      <c r="V9" s="37">
        <f t="shared" ca="1" si="4"/>
        <v>0</v>
      </c>
      <c r="W9" s="37">
        <f t="shared" ca="1" si="5"/>
        <v>0</v>
      </c>
      <c r="X9" s="65">
        <f t="shared" ca="1" si="6"/>
        <v>4</v>
      </c>
    </row>
    <row r="10" spans="1:24" s="66" customFormat="1" x14ac:dyDescent="0.2">
      <c r="A10" s="137" t="s">
        <v>306</v>
      </c>
      <c r="B10" s="76" t="str">
        <f ca="1">TEXT(OFFSET(B10,-1,0),"")</f>
        <v>rack1</v>
      </c>
      <c r="C10" s="25"/>
      <c r="D10" s="26" t="s">
        <v>243</v>
      </c>
      <c r="E10" s="27"/>
      <c r="F10" s="27"/>
      <c r="G10" s="55" t="str">
        <f ca="1">TEXT(OFFSET(G10,-1,0),"")</f>
        <v>wagoRack</v>
      </c>
      <c r="H10" s="55" t="str">
        <f ca="1">TEXT(OFFSET(H10,-1,0),"")</f>
        <v>node</v>
      </c>
      <c r="I10" s="24">
        <f ca="1">OFFSET(I10,-1,0)+1</f>
        <v>2</v>
      </c>
      <c r="J10" s="28">
        <v>1</v>
      </c>
      <c r="K10" s="28">
        <v>1</v>
      </c>
      <c r="L10" s="28" t="s">
        <v>308</v>
      </c>
      <c r="M10" s="24">
        <v>0</v>
      </c>
      <c r="N10" s="24">
        <v>1</v>
      </c>
      <c r="O10" s="24">
        <v>0</v>
      </c>
      <c r="P10" s="24">
        <v>1</v>
      </c>
      <c r="Q10" s="28"/>
      <c r="R10" s="29" t="s">
        <v>3</v>
      </c>
      <c r="S10" s="30">
        <v>1</v>
      </c>
      <c r="T10" s="60">
        <f ca="1">IF($S10=0,OFFSET(T10,-1,0)+1,OFFSET(T10,-1,0))</f>
        <v>0</v>
      </c>
      <c r="U10" s="60">
        <f ca="1">IF($S10=1,OFFSET(U10,-1,0)+1,OFFSET(U10,-1,0))</f>
        <v>5</v>
      </c>
      <c r="V10" s="60">
        <f ca="1">IF($S10=3,OFFSET(V10,-1,0)+1,OFFSET(V10,-1,0))</f>
        <v>0</v>
      </c>
      <c r="W10" s="60">
        <f ca="1">IF($S10=4,OFFSET(W10,-1,0)+1,OFFSET(W10,-1,0))</f>
        <v>0</v>
      </c>
      <c r="X10" s="61">
        <f ca="1">IF(S10=0,T10,IF(S10=1,U10,IF(S10=3,V10,IF(S10=4,W10))))</f>
        <v>5</v>
      </c>
    </row>
    <row r="11" spans="1:24" s="66" customFormat="1" x14ac:dyDescent="0.2">
      <c r="A11" s="138"/>
      <c r="B11" s="77" t="str">
        <f t="shared" ca="1" si="0"/>
        <v>rack1</v>
      </c>
      <c r="C11" s="25"/>
      <c r="D11" s="26" t="s">
        <v>243</v>
      </c>
      <c r="E11" s="27"/>
      <c r="F11" s="27"/>
      <c r="G11" s="55" t="str">
        <f t="shared" ca="1" si="1"/>
        <v>wagoRack</v>
      </c>
      <c r="H11" s="55" t="str">
        <f t="shared" ca="1" si="1"/>
        <v>node</v>
      </c>
      <c r="I11" s="24">
        <f ca="1">OFFSET(I11,-1,0)</f>
        <v>2</v>
      </c>
      <c r="J11" s="28">
        <v>2</v>
      </c>
      <c r="K11" s="28">
        <v>5</v>
      </c>
      <c r="L11" s="28" t="s">
        <v>309</v>
      </c>
      <c r="M11" s="28">
        <v>0</v>
      </c>
      <c r="N11" s="28">
        <v>1</v>
      </c>
      <c r="O11" s="28">
        <v>0</v>
      </c>
      <c r="P11" s="28">
        <v>1</v>
      </c>
      <c r="Q11" s="28"/>
      <c r="R11" s="28" t="s">
        <v>3</v>
      </c>
      <c r="S11" s="30">
        <v>1</v>
      </c>
      <c r="T11" s="31">
        <f t="shared" ca="1" si="2"/>
        <v>0</v>
      </c>
      <c r="U11" s="31">
        <f t="shared" ca="1" si="3"/>
        <v>6</v>
      </c>
      <c r="V11" s="31">
        <f t="shared" ca="1" si="4"/>
        <v>0</v>
      </c>
      <c r="W11" s="31">
        <f t="shared" ca="1" si="5"/>
        <v>0</v>
      </c>
      <c r="X11" s="64">
        <f ca="1">IF(S11=0,T11,IF(S11=1,U11,IF(S11=3,V11,IF(S11=4,W11))))</f>
        <v>6</v>
      </c>
    </row>
    <row r="12" spans="1:24" s="66" customFormat="1" x14ac:dyDescent="0.2">
      <c r="A12" s="138"/>
      <c r="B12" s="77" t="str">
        <f t="shared" ca="1" si="0"/>
        <v>rack1</v>
      </c>
      <c r="C12" s="25"/>
      <c r="D12" s="26" t="s">
        <v>243</v>
      </c>
      <c r="E12" s="27"/>
      <c r="F12" s="27"/>
      <c r="G12" s="55" t="str">
        <f t="shared" ca="1" si="1"/>
        <v>wagoRack</v>
      </c>
      <c r="H12" s="55" t="str">
        <f t="shared" ca="1" si="1"/>
        <v>node</v>
      </c>
      <c r="I12" s="24">
        <f ca="1">OFFSET(I12,-1,0)</f>
        <v>2</v>
      </c>
      <c r="J12" s="28">
        <v>3</v>
      </c>
      <c r="K12" s="28">
        <v>4</v>
      </c>
      <c r="L12" s="28" t="s">
        <v>310</v>
      </c>
      <c r="M12" s="28">
        <v>0</v>
      </c>
      <c r="N12" s="28">
        <v>1</v>
      </c>
      <c r="O12" s="28">
        <v>0</v>
      </c>
      <c r="P12" s="28">
        <v>1</v>
      </c>
      <c r="Q12" s="28"/>
      <c r="R12" s="28" t="s">
        <v>3</v>
      </c>
      <c r="S12" s="30">
        <v>1</v>
      </c>
      <c r="T12" s="31">
        <f t="shared" ca="1" si="2"/>
        <v>0</v>
      </c>
      <c r="U12" s="31">
        <f t="shared" ca="1" si="3"/>
        <v>7</v>
      </c>
      <c r="V12" s="31">
        <f t="shared" ca="1" si="4"/>
        <v>0</v>
      </c>
      <c r="W12" s="31">
        <f t="shared" ca="1" si="5"/>
        <v>0</v>
      </c>
      <c r="X12" s="64">
        <f t="shared" ref="X12:X13" ca="1" si="7">IF(S12=0,T12,IF(S12=1,U12,IF(S12=3,V12,IF(S12=4,W12))))</f>
        <v>7</v>
      </c>
    </row>
    <row r="13" spans="1:24" s="66" customFormat="1" ht="13.5" thickBot="1" x14ac:dyDescent="0.25">
      <c r="A13" s="139"/>
      <c r="B13" s="78" t="str">
        <f t="shared" ca="1" si="0"/>
        <v>rack1</v>
      </c>
      <c r="C13" s="33"/>
      <c r="D13" s="34" t="s">
        <v>243</v>
      </c>
      <c r="E13" s="35"/>
      <c r="F13" s="35"/>
      <c r="G13" s="58" t="str">
        <f t="shared" ca="1" si="1"/>
        <v>wagoRack</v>
      </c>
      <c r="H13" s="58" t="str">
        <f t="shared" ca="1" si="1"/>
        <v>node</v>
      </c>
      <c r="I13" s="32">
        <f ca="1">OFFSET(I13,-1,0)</f>
        <v>2</v>
      </c>
      <c r="J13" s="32">
        <v>4</v>
      </c>
      <c r="K13" s="32">
        <v>8</v>
      </c>
      <c r="L13" s="32" t="s">
        <v>311</v>
      </c>
      <c r="M13" s="32">
        <v>0</v>
      </c>
      <c r="N13" s="32">
        <v>1</v>
      </c>
      <c r="O13" s="32">
        <v>0</v>
      </c>
      <c r="P13" s="32">
        <v>1</v>
      </c>
      <c r="Q13" s="32"/>
      <c r="R13" s="32" t="s">
        <v>3</v>
      </c>
      <c r="S13" s="36">
        <v>1</v>
      </c>
      <c r="T13" s="37">
        <f t="shared" ca="1" si="2"/>
        <v>0</v>
      </c>
      <c r="U13" s="37">
        <f t="shared" ca="1" si="3"/>
        <v>8</v>
      </c>
      <c r="V13" s="37">
        <f t="shared" ca="1" si="4"/>
        <v>0</v>
      </c>
      <c r="W13" s="37">
        <f t="shared" ca="1" si="5"/>
        <v>0</v>
      </c>
      <c r="X13" s="65">
        <f t="shared" ca="1" si="7"/>
        <v>8</v>
      </c>
    </row>
    <row r="14" spans="1:24" s="66" customFormat="1" x14ac:dyDescent="0.2">
      <c r="A14" s="137" t="s">
        <v>314</v>
      </c>
      <c r="B14" s="76" t="str">
        <f ca="1">TEXT(OFFSET(B14,-1,0),"")</f>
        <v>rack1</v>
      </c>
      <c r="C14" s="25"/>
      <c r="D14" s="26" t="s">
        <v>243</v>
      </c>
      <c r="E14" s="27"/>
      <c r="F14" s="27"/>
      <c r="G14" s="55" t="str">
        <f ca="1">TEXT(OFFSET(G14,-1,0),"")</f>
        <v>wagoRack</v>
      </c>
      <c r="H14" s="55" t="str">
        <f ca="1">TEXT(OFFSET(H14,-1,0),"")</f>
        <v>node</v>
      </c>
      <c r="I14" s="24">
        <f ca="1">OFFSET(I14,-1,0)+1</f>
        <v>3</v>
      </c>
      <c r="J14" s="28">
        <v>1</v>
      </c>
      <c r="K14" s="28">
        <v>1</v>
      </c>
      <c r="L14" s="28">
        <v>2</v>
      </c>
      <c r="M14" s="24">
        <v>0</v>
      </c>
      <c r="N14" s="24">
        <v>1</v>
      </c>
      <c r="O14" s="24">
        <v>0</v>
      </c>
      <c r="P14" s="24">
        <v>1</v>
      </c>
      <c r="Q14" s="28"/>
      <c r="R14" s="29" t="s">
        <v>3</v>
      </c>
      <c r="S14" s="30">
        <v>1</v>
      </c>
      <c r="T14" s="60">
        <f ca="1">IF($S14=0,OFFSET(T14,-1,0)+1,OFFSET(T14,-1,0))</f>
        <v>0</v>
      </c>
      <c r="U14" s="60">
        <f ca="1">IF($S14=1,OFFSET(U14,-1,0)+1,OFFSET(U14,-1,0))</f>
        <v>9</v>
      </c>
      <c r="V14" s="60">
        <f ca="1">IF($S14=3,OFFSET(V14,-1,0)+1,OFFSET(V14,-1,0))</f>
        <v>0</v>
      </c>
      <c r="W14" s="60">
        <f ca="1">IF($S14=4,OFFSET(W14,-1,0)+1,OFFSET(W14,-1,0))</f>
        <v>0</v>
      </c>
      <c r="X14" s="61">
        <f ca="1">IF(S14=0,T14,IF(S14=1,U14,IF(S14=3,V14,IF(S14=4,W14))))</f>
        <v>9</v>
      </c>
    </row>
    <row r="15" spans="1:24" s="66" customFormat="1" x14ac:dyDescent="0.2">
      <c r="A15" s="138"/>
      <c r="B15" s="77" t="str">
        <f t="shared" ca="1" si="0"/>
        <v>rack1</v>
      </c>
      <c r="C15" s="25"/>
      <c r="D15" s="26" t="s">
        <v>243</v>
      </c>
      <c r="E15" s="27"/>
      <c r="F15" s="27"/>
      <c r="G15" s="55" t="str">
        <f t="shared" ca="1" si="1"/>
        <v>wagoRack</v>
      </c>
      <c r="H15" s="55" t="str">
        <f t="shared" ca="1" si="1"/>
        <v>node</v>
      </c>
      <c r="I15" s="24">
        <f ca="1">OFFSET(I15,-1,0)</f>
        <v>3</v>
      </c>
      <c r="J15" s="28">
        <v>2</v>
      </c>
      <c r="K15" s="28">
        <v>5</v>
      </c>
      <c r="L15" s="28">
        <v>6</v>
      </c>
      <c r="M15" s="28">
        <v>0</v>
      </c>
      <c r="N15" s="28">
        <v>1</v>
      </c>
      <c r="O15" s="28">
        <v>0</v>
      </c>
      <c r="P15" s="28">
        <v>1</v>
      </c>
      <c r="Q15" s="28"/>
      <c r="R15" s="28" t="s">
        <v>3</v>
      </c>
      <c r="S15" s="30">
        <v>1</v>
      </c>
      <c r="T15" s="31">
        <f t="shared" ca="1" si="2"/>
        <v>0</v>
      </c>
      <c r="U15" s="31">
        <f t="shared" ca="1" si="3"/>
        <v>10</v>
      </c>
      <c r="V15" s="31">
        <f t="shared" ca="1" si="4"/>
        <v>0</v>
      </c>
      <c r="W15" s="31">
        <f t="shared" ca="1" si="5"/>
        <v>0</v>
      </c>
      <c r="X15" s="64">
        <f ca="1">IF(S15=0,T15,IF(S15=1,U15,IF(S15=3,V15,IF(S15=4,W15))))</f>
        <v>10</v>
      </c>
    </row>
    <row r="16" spans="1:24" s="66" customFormat="1" x14ac:dyDescent="0.2">
      <c r="A16" s="138"/>
      <c r="B16" s="77" t="str">
        <f t="shared" ca="1" si="0"/>
        <v>rack1</v>
      </c>
      <c r="C16" s="25"/>
      <c r="D16" s="26" t="s">
        <v>243</v>
      </c>
      <c r="E16" s="27"/>
      <c r="F16" s="27"/>
      <c r="G16" s="55" t="str">
        <f t="shared" ca="1" si="1"/>
        <v>wagoRack</v>
      </c>
      <c r="H16" s="55" t="str">
        <f t="shared" ca="1" si="1"/>
        <v>node</v>
      </c>
      <c r="I16" s="24">
        <f ca="1">OFFSET(I16,-1,0)</f>
        <v>3</v>
      </c>
      <c r="J16" s="28">
        <v>3</v>
      </c>
      <c r="K16" s="28">
        <v>4</v>
      </c>
      <c r="L16" s="28">
        <v>3</v>
      </c>
      <c r="M16" s="28">
        <v>0</v>
      </c>
      <c r="N16" s="28">
        <v>1</v>
      </c>
      <c r="O16" s="28">
        <v>0</v>
      </c>
      <c r="P16" s="28">
        <v>1</v>
      </c>
      <c r="Q16" s="28"/>
      <c r="R16" s="28" t="s">
        <v>3</v>
      </c>
      <c r="S16" s="30">
        <v>1</v>
      </c>
      <c r="T16" s="31">
        <f t="shared" ca="1" si="2"/>
        <v>0</v>
      </c>
      <c r="U16" s="31">
        <f t="shared" ca="1" si="3"/>
        <v>11</v>
      </c>
      <c r="V16" s="31">
        <f t="shared" ca="1" si="4"/>
        <v>0</v>
      </c>
      <c r="W16" s="31">
        <f t="shared" ca="1" si="5"/>
        <v>0</v>
      </c>
      <c r="X16" s="64">
        <f t="shared" ref="X16:X17" ca="1" si="8">IF(S16=0,T16,IF(S16=1,U16,IF(S16=3,V16,IF(S16=4,W16))))</f>
        <v>11</v>
      </c>
    </row>
    <row r="17" spans="1:24" s="66" customFormat="1" ht="13.5" thickBot="1" x14ac:dyDescent="0.25">
      <c r="A17" s="139"/>
      <c r="B17" s="78" t="str">
        <f t="shared" ca="1" si="0"/>
        <v>rack1</v>
      </c>
      <c r="C17" s="33"/>
      <c r="D17" s="34" t="s">
        <v>243</v>
      </c>
      <c r="E17" s="35"/>
      <c r="F17" s="35"/>
      <c r="G17" s="58" t="str">
        <f t="shared" ca="1" si="1"/>
        <v>wagoRack</v>
      </c>
      <c r="H17" s="58" t="str">
        <f t="shared" ca="1" si="1"/>
        <v>node</v>
      </c>
      <c r="I17" s="32">
        <f ca="1">OFFSET(I17,-1,0)</f>
        <v>3</v>
      </c>
      <c r="J17" s="32">
        <v>4</v>
      </c>
      <c r="K17" s="32">
        <v>8</v>
      </c>
      <c r="L17" s="32">
        <v>7</v>
      </c>
      <c r="M17" s="32">
        <v>0</v>
      </c>
      <c r="N17" s="32">
        <v>1</v>
      </c>
      <c r="O17" s="32">
        <v>0</v>
      </c>
      <c r="P17" s="32">
        <v>1</v>
      </c>
      <c r="Q17" s="32"/>
      <c r="R17" s="32" t="s">
        <v>3</v>
      </c>
      <c r="S17" s="36">
        <v>1</v>
      </c>
      <c r="T17" s="37">
        <f t="shared" ca="1" si="2"/>
        <v>0</v>
      </c>
      <c r="U17" s="37">
        <f t="shared" ca="1" si="3"/>
        <v>12</v>
      </c>
      <c r="V17" s="37">
        <f t="shared" ca="1" si="4"/>
        <v>0</v>
      </c>
      <c r="W17" s="37">
        <f t="shared" ca="1" si="5"/>
        <v>0</v>
      </c>
      <c r="X17" s="65">
        <f t="shared" ca="1" si="8"/>
        <v>12</v>
      </c>
    </row>
    <row r="18" spans="1:24" x14ac:dyDescent="0.2">
      <c r="A18" s="137" t="s">
        <v>288</v>
      </c>
      <c r="B18" s="77" t="str">
        <f t="shared" ca="1" si="0"/>
        <v>rack1</v>
      </c>
      <c r="C18" s="38"/>
      <c r="D18" s="39" t="s">
        <v>243</v>
      </c>
      <c r="E18" s="27"/>
      <c r="F18" s="27"/>
      <c r="G18" s="55" t="str">
        <f t="shared" ca="1" si="1"/>
        <v>wagoRack</v>
      </c>
      <c r="H18" s="55" t="str">
        <f t="shared" ca="1" si="1"/>
        <v>node</v>
      </c>
      <c r="I18" s="24">
        <f t="shared" ref="I18:I112" ca="1" si="9">OFFSET(I18,-1,0)+1</f>
        <v>4</v>
      </c>
      <c r="J18" s="40">
        <v>1</v>
      </c>
      <c r="K18" s="40">
        <v>1</v>
      </c>
      <c r="L18" s="40" t="s">
        <v>244</v>
      </c>
      <c r="M18" s="40">
        <v>0</v>
      </c>
      <c r="N18" s="40">
        <v>1</v>
      </c>
      <c r="O18" s="40">
        <v>0</v>
      </c>
      <c r="P18" s="40">
        <v>1</v>
      </c>
      <c r="Q18" s="40"/>
      <c r="R18" s="40" t="s">
        <v>3</v>
      </c>
      <c r="S18" s="41">
        <v>1</v>
      </c>
      <c r="T18" s="42">
        <f t="shared" ca="1" si="2"/>
        <v>0</v>
      </c>
      <c r="U18" s="42">
        <f t="shared" ca="1" si="3"/>
        <v>13</v>
      </c>
      <c r="V18" s="42">
        <f t="shared" ca="1" si="4"/>
        <v>0</v>
      </c>
      <c r="W18" s="42">
        <f t="shared" ca="1" si="5"/>
        <v>0</v>
      </c>
      <c r="X18" s="63">
        <f t="shared" ca="1" si="6"/>
        <v>13</v>
      </c>
    </row>
    <row r="19" spans="1:24" x14ac:dyDescent="0.2">
      <c r="A19" s="138"/>
      <c r="B19" s="77" t="str">
        <f t="shared" ca="1" si="0"/>
        <v>rack1</v>
      </c>
      <c r="C19" s="25"/>
      <c r="D19" s="26" t="s">
        <v>243</v>
      </c>
      <c r="E19" s="27"/>
      <c r="F19" s="27"/>
      <c r="G19" s="55" t="str">
        <f t="shared" ca="1" si="1"/>
        <v>wagoRack</v>
      </c>
      <c r="H19" s="55" t="str">
        <f t="shared" ca="1" si="1"/>
        <v>node</v>
      </c>
      <c r="I19" s="24">
        <f ca="1">OFFSET(I19,-1,0)</f>
        <v>4</v>
      </c>
      <c r="J19" s="28">
        <v>2</v>
      </c>
      <c r="K19" s="28">
        <v>5</v>
      </c>
      <c r="L19" s="28" t="s">
        <v>244</v>
      </c>
      <c r="M19" s="28">
        <v>0</v>
      </c>
      <c r="N19" s="28">
        <v>1</v>
      </c>
      <c r="O19" s="28">
        <v>0</v>
      </c>
      <c r="P19" s="28">
        <v>1</v>
      </c>
      <c r="Q19" s="28"/>
      <c r="R19" s="28" t="s">
        <v>3</v>
      </c>
      <c r="S19" s="30">
        <v>1</v>
      </c>
      <c r="T19" s="31">
        <f t="shared" ca="1" si="2"/>
        <v>0</v>
      </c>
      <c r="U19" s="31">
        <f t="shared" ca="1" si="3"/>
        <v>14</v>
      </c>
      <c r="V19" s="31">
        <f t="shared" ca="1" si="4"/>
        <v>0</v>
      </c>
      <c r="W19" s="31">
        <f t="shared" ca="1" si="5"/>
        <v>0</v>
      </c>
      <c r="X19" s="64">
        <f t="shared" ca="1" si="6"/>
        <v>14</v>
      </c>
    </row>
    <row r="20" spans="1:24" x14ac:dyDescent="0.2">
      <c r="A20" s="138"/>
      <c r="B20" s="77" t="str">
        <f t="shared" ca="1" si="0"/>
        <v>rack1</v>
      </c>
      <c r="C20" s="25"/>
      <c r="D20" s="26" t="s">
        <v>243</v>
      </c>
      <c r="E20" s="27"/>
      <c r="F20" s="27"/>
      <c r="G20" s="55" t="str">
        <f t="shared" ca="1" si="1"/>
        <v>wagoRack</v>
      </c>
      <c r="H20" s="55" t="str">
        <f t="shared" ca="1" si="1"/>
        <v>node</v>
      </c>
      <c r="I20" s="24">
        <f t="shared" ref="I20:I24" ca="1" si="10">OFFSET(I20,-1,0)</f>
        <v>4</v>
      </c>
      <c r="J20" s="28">
        <v>3</v>
      </c>
      <c r="K20" s="28">
        <v>2</v>
      </c>
      <c r="L20" s="28" t="s">
        <v>244</v>
      </c>
      <c r="M20" s="28">
        <v>0</v>
      </c>
      <c r="N20" s="28">
        <v>1</v>
      </c>
      <c r="O20" s="28">
        <v>0</v>
      </c>
      <c r="P20" s="28">
        <v>1</v>
      </c>
      <c r="Q20" s="28"/>
      <c r="R20" s="28" t="s">
        <v>3</v>
      </c>
      <c r="S20" s="30">
        <v>1</v>
      </c>
      <c r="T20" s="31">
        <f t="shared" ca="1" si="2"/>
        <v>0</v>
      </c>
      <c r="U20" s="31">
        <f t="shared" ca="1" si="3"/>
        <v>15</v>
      </c>
      <c r="V20" s="31">
        <f t="shared" ca="1" si="4"/>
        <v>0</v>
      </c>
      <c r="W20" s="31">
        <f t="shared" ca="1" si="5"/>
        <v>0</v>
      </c>
      <c r="X20" s="64">
        <f t="shared" ca="1" si="6"/>
        <v>15</v>
      </c>
    </row>
    <row r="21" spans="1:24" x14ac:dyDescent="0.2">
      <c r="A21" s="138"/>
      <c r="B21" s="77" t="str">
        <f t="shared" ca="1" si="0"/>
        <v>rack1</v>
      </c>
      <c r="C21" s="25"/>
      <c r="D21" s="26" t="s">
        <v>243</v>
      </c>
      <c r="E21" s="27"/>
      <c r="F21" s="27"/>
      <c r="G21" s="55" t="str">
        <f t="shared" ca="1" si="1"/>
        <v>wagoRack</v>
      </c>
      <c r="H21" s="55" t="str">
        <f t="shared" ca="1" si="1"/>
        <v>node</v>
      </c>
      <c r="I21" s="24">
        <f t="shared" ca="1" si="10"/>
        <v>4</v>
      </c>
      <c r="J21" s="28">
        <v>4</v>
      </c>
      <c r="K21" s="28">
        <v>6</v>
      </c>
      <c r="L21" s="28" t="s">
        <v>244</v>
      </c>
      <c r="M21" s="28">
        <v>0</v>
      </c>
      <c r="N21" s="28">
        <v>1</v>
      </c>
      <c r="O21" s="28">
        <v>0</v>
      </c>
      <c r="P21" s="28">
        <v>1</v>
      </c>
      <c r="Q21" s="28"/>
      <c r="R21" s="28" t="s">
        <v>3</v>
      </c>
      <c r="S21" s="30">
        <v>1</v>
      </c>
      <c r="T21" s="31">
        <f t="shared" ca="1" si="2"/>
        <v>0</v>
      </c>
      <c r="U21" s="31">
        <f t="shared" ca="1" si="3"/>
        <v>16</v>
      </c>
      <c r="V21" s="31">
        <f t="shared" ca="1" si="4"/>
        <v>0</v>
      </c>
      <c r="W21" s="31">
        <f t="shared" ca="1" si="5"/>
        <v>0</v>
      </c>
      <c r="X21" s="64">
        <f t="shared" ca="1" si="6"/>
        <v>16</v>
      </c>
    </row>
    <row r="22" spans="1:24" x14ac:dyDescent="0.2">
      <c r="A22" s="138"/>
      <c r="B22" s="77" t="str">
        <f t="shared" ca="1" si="0"/>
        <v>rack1</v>
      </c>
      <c r="C22" s="25"/>
      <c r="D22" s="26" t="s">
        <v>243</v>
      </c>
      <c r="E22" s="27"/>
      <c r="F22" s="27"/>
      <c r="G22" s="55" t="str">
        <f t="shared" ca="1" si="1"/>
        <v>wagoRack</v>
      </c>
      <c r="H22" s="55" t="str">
        <f t="shared" ca="1" si="1"/>
        <v>node</v>
      </c>
      <c r="I22" s="24">
        <f t="shared" ca="1" si="10"/>
        <v>4</v>
      </c>
      <c r="J22" s="28">
        <v>5</v>
      </c>
      <c r="K22" s="28">
        <v>3</v>
      </c>
      <c r="L22" s="28" t="s">
        <v>244</v>
      </c>
      <c r="M22" s="28">
        <v>0</v>
      </c>
      <c r="N22" s="28">
        <v>1</v>
      </c>
      <c r="O22" s="28">
        <v>0</v>
      </c>
      <c r="P22" s="28">
        <v>1</v>
      </c>
      <c r="Q22" s="28"/>
      <c r="R22" s="28" t="s">
        <v>3</v>
      </c>
      <c r="S22" s="30">
        <v>1</v>
      </c>
      <c r="T22" s="31">
        <f t="shared" ca="1" si="2"/>
        <v>0</v>
      </c>
      <c r="U22" s="31">
        <f t="shared" ca="1" si="3"/>
        <v>17</v>
      </c>
      <c r="V22" s="31">
        <f t="shared" ca="1" si="4"/>
        <v>0</v>
      </c>
      <c r="W22" s="31">
        <f t="shared" ca="1" si="5"/>
        <v>0</v>
      </c>
      <c r="X22" s="64">
        <f t="shared" ca="1" si="6"/>
        <v>17</v>
      </c>
    </row>
    <row r="23" spans="1:24" x14ac:dyDescent="0.2">
      <c r="A23" s="138"/>
      <c r="B23" s="77" t="str">
        <f t="shared" ca="1" si="0"/>
        <v>rack1</v>
      </c>
      <c r="C23" s="25"/>
      <c r="D23" s="26" t="s">
        <v>243</v>
      </c>
      <c r="E23" s="27"/>
      <c r="F23" s="27"/>
      <c r="G23" s="55" t="str">
        <f t="shared" ca="1" si="1"/>
        <v>wagoRack</v>
      </c>
      <c r="H23" s="55" t="str">
        <f t="shared" ca="1" si="1"/>
        <v>node</v>
      </c>
      <c r="I23" s="24">
        <f t="shared" ca="1" si="10"/>
        <v>4</v>
      </c>
      <c r="J23" s="28">
        <v>6</v>
      </c>
      <c r="K23" s="28">
        <v>7</v>
      </c>
      <c r="L23" s="28" t="s">
        <v>244</v>
      </c>
      <c r="M23" s="28">
        <v>0</v>
      </c>
      <c r="N23" s="28">
        <v>1</v>
      </c>
      <c r="O23" s="28">
        <v>0</v>
      </c>
      <c r="P23" s="28">
        <v>1</v>
      </c>
      <c r="Q23" s="28"/>
      <c r="R23" s="28" t="s">
        <v>3</v>
      </c>
      <c r="S23" s="30">
        <v>1</v>
      </c>
      <c r="T23" s="31">
        <f t="shared" ca="1" si="2"/>
        <v>0</v>
      </c>
      <c r="U23" s="31">
        <f t="shared" ca="1" si="3"/>
        <v>18</v>
      </c>
      <c r="V23" s="31">
        <f t="shared" ca="1" si="4"/>
        <v>0</v>
      </c>
      <c r="W23" s="31">
        <f t="shared" ca="1" si="5"/>
        <v>0</v>
      </c>
      <c r="X23" s="64">
        <f t="shared" ca="1" si="6"/>
        <v>18</v>
      </c>
    </row>
    <row r="24" spans="1:24" x14ac:dyDescent="0.2">
      <c r="A24" s="138"/>
      <c r="B24" s="77" t="str">
        <f t="shared" ca="1" si="0"/>
        <v>rack1</v>
      </c>
      <c r="C24" s="25"/>
      <c r="D24" s="26" t="s">
        <v>243</v>
      </c>
      <c r="E24" s="27"/>
      <c r="F24" s="27"/>
      <c r="G24" s="55" t="str">
        <f t="shared" ca="1" si="1"/>
        <v>wagoRack</v>
      </c>
      <c r="H24" s="55" t="str">
        <f t="shared" ca="1" si="1"/>
        <v>node</v>
      </c>
      <c r="I24" s="24">
        <f t="shared" ca="1" si="10"/>
        <v>4</v>
      </c>
      <c r="J24" s="28">
        <v>7</v>
      </c>
      <c r="K24" s="28">
        <v>4</v>
      </c>
      <c r="L24" s="28" t="s">
        <v>244</v>
      </c>
      <c r="M24" s="28">
        <v>0</v>
      </c>
      <c r="N24" s="28">
        <v>1</v>
      </c>
      <c r="O24" s="28">
        <v>0</v>
      </c>
      <c r="P24" s="28">
        <v>1</v>
      </c>
      <c r="Q24" s="28"/>
      <c r="R24" s="28" t="s">
        <v>3</v>
      </c>
      <c r="S24" s="30">
        <v>1</v>
      </c>
      <c r="T24" s="31">
        <f t="shared" ca="1" si="2"/>
        <v>0</v>
      </c>
      <c r="U24" s="31">
        <f t="shared" ca="1" si="3"/>
        <v>19</v>
      </c>
      <c r="V24" s="31">
        <f t="shared" ca="1" si="4"/>
        <v>0</v>
      </c>
      <c r="W24" s="31">
        <f t="shared" ca="1" si="5"/>
        <v>0</v>
      </c>
      <c r="X24" s="64">
        <f t="shared" ca="1" si="6"/>
        <v>19</v>
      </c>
    </row>
    <row r="25" spans="1:24" ht="13.5" thickBot="1" x14ac:dyDescent="0.25">
      <c r="A25" s="139"/>
      <c r="B25" s="82" t="str">
        <f t="shared" ca="1" si="0"/>
        <v>rack1</v>
      </c>
      <c r="C25" s="33"/>
      <c r="D25" s="34" t="s">
        <v>243</v>
      </c>
      <c r="E25" s="35"/>
      <c r="F25" s="35"/>
      <c r="G25" s="58" t="str">
        <f t="shared" ca="1" si="1"/>
        <v>wagoRack</v>
      </c>
      <c r="H25" s="58" t="str">
        <f t="shared" ca="1" si="1"/>
        <v>node</v>
      </c>
      <c r="I25" s="32">
        <f ca="1">OFFSET(I25,-1,0)</f>
        <v>4</v>
      </c>
      <c r="J25" s="32">
        <v>8</v>
      </c>
      <c r="K25" s="32">
        <v>8</v>
      </c>
      <c r="L25" s="32" t="s">
        <v>244</v>
      </c>
      <c r="M25" s="32">
        <v>0</v>
      </c>
      <c r="N25" s="32">
        <v>1</v>
      </c>
      <c r="O25" s="32">
        <v>0</v>
      </c>
      <c r="P25" s="32">
        <v>1</v>
      </c>
      <c r="Q25" s="32"/>
      <c r="R25" s="32" t="s">
        <v>3</v>
      </c>
      <c r="S25" s="36">
        <v>1</v>
      </c>
      <c r="T25" s="37">
        <f t="shared" ca="1" si="2"/>
        <v>0</v>
      </c>
      <c r="U25" s="37">
        <f t="shared" ca="1" si="3"/>
        <v>20</v>
      </c>
      <c r="V25" s="37">
        <f t="shared" ca="1" si="4"/>
        <v>0</v>
      </c>
      <c r="W25" s="37">
        <f t="shared" ca="1" si="5"/>
        <v>0</v>
      </c>
      <c r="X25" s="65">
        <f t="shared" ca="1" si="6"/>
        <v>20</v>
      </c>
    </row>
    <row r="26" spans="1:24" x14ac:dyDescent="0.2">
      <c r="A26" s="137" t="s">
        <v>289</v>
      </c>
      <c r="B26" s="76" t="str">
        <f t="shared" ca="1" si="0"/>
        <v>rack1</v>
      </c>
      <c r="C26" s="38"/>
      <c r="D26" s="39" t="s">
        <v>243</v>
      </c>
      <c r="E26" s="27"/>
      <c r="F26" s="27"/>
      <c r="G26" s="55" t="str">
        <f t="shared" ca="1" si="1"/>
        <v>wagoRack</v>
      </c>
      <c r="H26" s="55" t="str">
        <f t="shared" ca="1" si="1"/>
        <v>node</v>
      </c>
      <c r="I26" s="24">
        <f t="shared" ca="1" si="9"/>
        <v>5</v>
      </c>
      <c r="J26" s="40">
        <v>1</v>
      </c>
      <c r="K26" s="40"/>
      <c r="L26" s="40" t="s">
        <v>244</v>
      </c>
      <c r="M26" s="40">
        <v>0</v>
      </c>
      <c r="N26" s="40">
        <v>1</v>
      </c>
      <c r="O26" s="40">
        <v>0</v>
      </c>
      <c r="P26" s="40">
        <v>1</v>
      </c>
      <c r="Q26" s="40"/>
      <c r="R26" s="40" t="s">
        <v>3</v>
      </c>
      <c r="S26" s="41">
        <v>1</v>
      </c>
      <c r="T26" s="42">
        <f t="shared" ca="1" si="2"/>
        <v>0</v>
      </c>
      <c r="U26" s="42">
        <f t="shared" ca="1" si="3"/>
        <v>21</v>
      </c>
      <c r="V26" s="42">
        <f t="shared" ca="1" si="4"/>
        <v>0</v>
      </c>
      <c r="W26" s="42">
        <f t="shared" ca="1" si="5"/>
        <v>0</v>
      </c>
      <c r="X26" s="63">
        <f t="shared" ca="1" si="6"/>
        <v>21</v>
      </c>
    </row>
    <row r="27" spans="1:24" x14ac:dyDescent="0.2">
      <c r="A27" s="138"/>
      <c r="B27" s="77" t="str">
        <f t="shared" ca="1" si="0"/>
        <v>rack1</v>
      </c>
      <c r="C27" s="25"/>
      <c r="D27" s="26" t="s">
        <v>243</v>
      </c>
      <c r="E27" s="27"/>
      <c r="F27" s="27"/>
      <c r="G27" s="55" t="str">
        <f t="shared" ca="1" si="1"/>
        <v>wagoRack</v>
      </c>
      <c r="H27" s="55" t="str">
        <f t="shared" ca="1" si="1"/>
        <v>node</v>
      </c>
      <c r="I27" s="24">
        <f ca="1">OFFSET(I27,-1,0)</f>
        <v>5</v>
      </c>
      <c r="J27" s="28">
        <v>2</v>
      </c>
      <c r="K27" s="28"/>
      <c r="L27" s="28" t="s">
        <v>244</v>
      </c>
      <c r="M27" s="28">
        <v>0</v>
      </c>
      <c r="N27" s="28">
        <v>1</v>
      </c>
      <c r="O27" s="28">
        <v>0</v>
      </c>
      <c r="P27" s="28">
        <v>1</v>
      </c>
      <c r="Q27" s="28"/>
      <c r="R27" s="28" t="s">
        <v>3</v>
      </c>
      <c r="S27" s="30">
        <v>1</v>
      </c>
      <c r="T27" s="31">
        <f t="shared" ca="1" si="2"/>
        <v>0</v>
      </c>
      <c r="U27" s="31">
        <f t="shared" ca="1" si="3"/>
        <v>22</v>
      </c>
      <c r="V27" s="31">
        <f t="shared" ca="1" si="4"/>
        <v>0</v>
      </c>
      <c r="W27" s="31">
        <f t="shared" ca="1" si="5"/>
        <v>0</v>
      </c>
      <c r="X27" s="64">
        <f t="shared" ca="1" si="6"/>
        <v>22</v>
      </c>
    </row>
    <row r="28" spans="1:24" x14ac:dyDescent="0.2">
      <c r="A28" s="138"/>
      <c r="B28" s="77" t="str">
        <f t="shared" ca="1" si="0"/>
        <v>rack1</v>
      </c>
      <c r="C28" s="25"/>
      <c r="D28" s="26" t="s">
        <v>243</v>
      </c>
      <c r="E28" s="27"/>
      <c r="F28" s="27"/>
      <c r="G28" s="55" t="str">
        <f t="shared" ca="1" si="1"/>
        <v>wagoRack</v>
      </c>
      <c r="H28" s="55" t="str">
        <f t="shared" ca="1" si="1"/>
        <v>node</v>
      </c>
      <c r="I28" s="24">
        <f t="shared" ref="I28:I40" ca="1" si="11">OFFSET(I28,-1,0)</f>
        <v>5</v>
      </c>
      <c r="J28" s="28">
        <v>3</v>
      </c>
      <c r="K28" s="28"/>
      <c r="L28" s="28" t="s">
        <v>244</v>
      </c>
      <c r="M28" s="28">
        <v>0</v>
      </c>
      <c r="N28" s="28">
        <v>1</v>
      </c>
      <c r="O28" s="28">
        <v>0</v>
      </c>
      <c r="P28" s="28">
        <v>1</v>
      </c>
      <c r="Q28" s="28"/>
      <c r="R28" s="28" t="s">
        <v>3</v>
      </c>
      <c r="S28" s="30">
        <v>1</v>
      </c>
      <c r="T28" s="31">
        <f t="shared" ca="1" si="2"/>
        <v>0</v>
      </c>
      <c r="U28" s="31">
        <f t="shared" ca="1" si="3"/>
        <v>23</v>
      </c>
      <c r="V28" s="31">
        <f t="shared" ca="1" si="4"/>
        <v>0</v>
      </c>
      <c r="W28" s="31">
        <f t="shared" ca="1" si="5"/>
        <v>0</v>
      </c>
      <c r="X28" s="64">
        <f t="shared" ca="1" si="6"/>
        <v>23</v>
      </c>
    </row>
    <row r="29" spans="1:24" x14ac:dyDescent="0.2">
      <c r="A29" s="138"/>
      <c r="B29" s="77" t="str">
        <f t="shared" ca="1" si="0"/>
        <v>rack1</v>
      </c>
      <c r="C29" s="25"/>
      <c r="D29" s="26" t="s">
        <v>243</v>
      </c>
      <c r="E29" s="27"/>
      <c r="F29" s="27"/>
      <c r="G29" s="55" t="str">
        <f t="shared" ca="1" si="1"/>
        <v>wagoRack</v>
      </c>
      <c r="H29" s="55" t="str">
        <f t="shared" ca="1" si="1"/>
        <v>node</v>
      </c>
      <c r="I29" s="24">
        <f t="shared" ca="1" si="11"/>
        <v>5</v>
      </c>
      <c r="J29" s="28">
        <v>4</v>
      </c>
      <c r="K29" s="28"/>
      <c r="L29" s="28" t="s">
        <v>244</v>
      </c>
      <c r="M29" s="28">
        <v>0</v>
      </c>
      <c r="N29" s="28">
        <v>1</v>
      </c>
      <c r="O29" s="28">
        <v>0</v>
      </c>
      <c r="P29" s="28">
        <v>1</v>
      </c>
      <c r="Q29" s="28"/>
      <c r="R29" s="28" t="s">
        <v>3</v>
      </c>
      <c r="S29" s="30">
        <v>1</v>
      </c>
      <c r="T29" s="31">
        <f t="shared" ca="1" si="2"/>
        <v>0</v>
      </c>
      <c r="U29" s="31">
        <f t="shared" ca="1" si="3"/>
        <v>24</v>
      </c>
      <c r="V29" s="31">
        <f t="shared" ca="1" si="4"/>
        <v>0</v>
      </c>
      <c r="W29" s="31">
        <f t="shared" ca="1" si="5"/>
        <v>0</v>
      </c>
      <c r="X29" s="64">
        <f t="shared" ca="1" si="6"/>
        <v>24</v>
      </c>
    </row>
    <row r="30" spans="1:24" x14ac:dyDescent="0.2">
      <c r="A30" s="138"/>
      <c r="B30" s="77" t="str">
        <f t="shared" ca="1" si="0"/>
        <v>rack1</v>
      </c>
      <c r="C30" s="25"/>
      <c r="D30" s="26" t="s">
        <v>243</v>
      </c>
      <c r="E30" s="27"/>
      <c r="F30" s="27"/>
      <c r="G30" s="55" t="str">
        <f t="shared" ca="1" si="1"/>
        <v>wagoRack</v>
      </c>
      <c r="H30" s="55" t="str">
        <f t="shared" ca="1" si="1"/>
        <v>node</v>
      </c>
      <c r="I30" s="24">
        <f t="shared" ca="1" si="11"/>
        <v>5</v>
      </c>
      <c r="J30" s="28">
        <v>5</v>
      </c>
      <c r="K30" s="28"/>
      <c r="L30" s="28" t="s">
        <v>244</v>
      </c>
      <c r="M30" s="28">
        <v>0</v>
      </c>
      <c r="N30" s="28">
        <v>1</v>
      </c>
      <c r="O30" s="28">
        <v>0</v>
      </c>
      <c r="P30" s="28">
        <v>1</v>
      </c>
      <c r="Q30" s="28"/>
      <c r="R30" s="28" t="s">
        <v>3</v>
      </c>
      <c r="S30" s="30">
        <v>1</v>
      </c>
      <c r="T30" s="31">
        <f t="shared" ca="1" si="2"/>
        <v>0</v>
      </c>
      <c r="U30" s="31">
        <f t="shared" ca="1" si="3"/>
        <v>25</v>
      </c>
      <c r="V30" s="31">
        <f t="shared" ca="1" si="4"/>
        <v>0</v>
      </c>
      <c r="W30" s="31">
        <f t="shared" ca="1" si="5"/>
        <v>0</v>
      </c>
      <c r="X30" s="64">
        <f t="shared" ca="1" si="6"/>
        <v>25</v>
      </c>
    </row>
    <row r="31" spans="1:24" x14ac:dyDescent="0.2">
      <c r="A31" s="138"/>
      <c r="B31" s="81" t="str">
        <f t="shared" ca="1" si="0"/>
        <v>rack1</v>
      </c>
      <c r="C31" s="25"/>
      <c r="D31" s="26" t="s">
        <v>243</v>
      </c>
      <c r="E31" s="27"/>
      <c r="F31" s="27"/>
      <c r="G31" s="55" t="str">
        <f t="shared" ca="1" si="1"/>
        <v>wagoRack</v>
      </c>
      <c r="H31" s="55" t="str">
        <f t="shared" ca="1" si="1"/>
        <v>node</v>
      </c>
      <c r="I31" s="24">
        <f t="shared" ca="1" si="11"/>
        <v>5</v>
      </c>
      <c r="J31" s="28">
        <v>6</v>
      </c>
      <c r="K31" s="28"/>
      <c r="L31" s="28" t="s">
        <v>244</v>
      </c>
      <c r="M31" s="28">
        <v>0</v>
      </c>
      <c r="N31" s="28">
        <v>1</v>
      </c>
      <c r="O31" s="28">
        <v>0</v>
      </c>
      <c r="P31" s="28">
        <v>1</v>
      </c>
      <c r="Q31" s="28"/>
      <c r="R31" s="28" t="s">
        <v>3</v>
      </c>
      <c r="S31" s="30">
        <v>1</v>
      </c>
      <c r="T31" s="31">
        <f t="shared" ca="1" si="2"/>
        <v>0</v>
      </c>
      <c r="U31" s="31">
        <f t="shared" ca="1" si="3"/>
        <v>26</v>
      </c>
      <c r="V31" s="31">
        <f t="shared" ca="1" si="4"/>
        <v>0</v>
      </c>
      <c r="W31" s="31">
        <f t="shared" ca="1" si="5"/>
        <v>0</v>
      </c>
      <c r="X31" s="64">
        <f t="shared" ca="1" si="6"/>
        <v>26</v>
      </c>
    </row>
    <row r="32" spans="1:24" x14ac:dyDescent="0.2">
      <c r="A32" s="138"/>
      <c r="B32" s="77" t="str">
        <f t="shared" ca="1" si="0"/>
        <v>rack1</v>
      </c>
      <c r="C32" s="25"/>
      <c r="D32" s="26" t="s">
        <v>243</v>
      </c>
      <c r="E32" s="27"/>
      <c r="F32" s="27"/>
      <c r="G32" s="55" t="str">
        <f t="shared" ca="1" si="1"/>
        <v>wagoRack</v>
      </c>
      <c r="H32" s="55" t="str">
        <f t="shared" ca="1" si="1"/>
        <v>node</v>
      </c>
      <c r="I32" s="24">
        <f t="shared" ca="1" si="11"/>
        <v>5</v>
      </c>
      <c r="J32" s="28">
        <v>7</v>
      </c>
      <c r="K32" s="28"/>
      <c r="L32" s="28" t="s">
        <v>244</v>
      </c>
      <c r="M32" s="28">
        <v>0</v>
      </c>
      <c r="N32" s="28">
        <v>1</v>
      </c>
      <c r="O32" s="28">
        <v>0</v>
      </c>
      <c r="P32" s="28">
        <v>1</v>
      </c>
      <c r="Q32" s="28"/>
      <c r="R32" s="28" t="s">
        <v>3</v>
      </c>
      <c r="S32" s="30">
        <v>1</v>
      </c>
      <c r="T32" s="31">
        <f t="shared" ca="1" si="2"/>
        <v>0</v>
      </c>
      <c r="U32" s="31">
        <f t="shared" ca="1" si="3"/>
        <v>27</v>
      </c>
      <c r="V32" s="31">
        <f t="shared" ca="1" si="4"/>
        <v>0</v>
      </c>
      <c r="W32" s="31">
        <f t="shared" ca="1" si="5"/>
        <v>0</v>
      </c>
      <c r="X32" s="64">
        <f t="shared" ca="1" si="6"/>
        <v>27</v>
      </c>
    </row>
    <row r="33" spans="1:24" x14ac:dyDescent="0.2">
      <c r="A33" s="138"/>
      <c r="B33" s="77" t="str">
        <f t="shared" ca="1" si="0"/>
        <v>rack1</v>
      </c>
      <c r="C33" s="25"/>
      <c r="D33" s="26" t="s">
        <v>243</v>
      </c>
      <c r="E33" s="27"/>
      <c r="F33" s="27"/>
      <c r="G33" s="55" t="str">
        <f t="shared" ca="1" si="1"/>
        <v>wagoRack</v>
      </c>
      <c r="H33" s="55" t="str">
        <f t="shared" ca="1" si="1"/>
        <v>node</v>
      </c>
      <c r="I33" s="24">
        <f t="shared" ca="1" si="11"/>
        <v>5</v>
      </c>
      <c r="J33" s="28">
        <v>8</v>
      </c>
      <c r="K33" s="28"/>
      <c r="L33" s="28" t="s">
        <v>244</v>
      </c>
      <c r="M33" s="28">
        <v>0</v>
      </c>
      <c r="N33" s="28">
        <v>1</v>
      </c>
      <c r="O33" s="28">
        <v>0</v>
      </c>
      <c r="P33" s="28">
        <v>1</v>
      </c>
      <c r="Q33" s="28"/>
      <c r="R33" s="28" t="s">
        <v>3</v>
      </c>
      <c r="S33" s="30">
        <v>1</v>
      </c>
      <c r="T33" s="31">
        <f t="shared" ca="1" si="2"/>
        <v>0</v>
      </c>
      <c r="U33" s="31">
        <f t="shared" ca="1" si="3"/>
        <v>28</v>
      </c>
      <c r="V33" s="31">
        <f t="shared" ca="1" si="4"/>
        <v>0</v>
      </c>
      <c r="W33" s="31">
        <f t="shared" ca="1" si="5"/>
        <v>0</v>
      </c>
      <c r="X33" s="64">
        <f t="shared" ca="1" si="6"/>
        <v>28</v>
      </c>
    </row>
    <row r="34" spans="1:24" x14ac:dyDescent="0.2">
      <c r="A34" s="138"/>
      <c r="B34" s="77" t="str">
        <f t="shared" ca="1" si="0"/>
        <v>rack1</v>
      </c>
      <c r="C34" s="25"/>
      <c r="D34" s="26" t="s">
        <v>243</v>
      </c>
      <c r="E34" s="27"/>
      <c r="F34" s="27"/>
      <c r="G34" s="55" t="str">
        <f t="shared" ca="1" si="1"/>
        <v>wagoRack</v>
      </c>
      <c r="H34" s="55" t="str">
        <f t="shared" ca="1" si="1"/>
        <v>node</v>
      </c>
      <c r="I34" s="24">
        <f t="shared" ca="1" si="11"/>
        <v>5</v>
      </c>
      <c r="J34" s="28">
        <v>9</v>
      </c>
      <c r="K34" s="28"/>
      <c r="L34" s="28" t="s">
        <v>244</v>
      </c>
      <c r="M34" s="28">
        <v>0</v>
      </c>
      <c r="N34" s="28">
        <v>1</v>
      </c>
      <c r="O34" s="28">
        <v>0</v>
      </c>
      <c r="P34" s="28">
        <v>1</v>
      </c>
      <c r="Q34" s="28"/>
      <c r="R34" s="28" t="s">
        <v>3</v>
      </c>
      <c r="S34" s="30">
        <v>1</v>
      </c>
      <c r="T34" s="31">
        <f t="shared" ca="1" si="2"/>
        <v>0</v>
      </c>
      <c r="U34" s="31">
        <f t="shared" ca="1" si="3"/>
        <v>29</v>
      </c>
      <c r="V34" s="31">
        <f t="shared" ca="1" si="4"/>
        <v>0</v>
      </c>
      <c r="W34" s="31">
        <f t="shared" ca="1" si="5"/>
        <v>0</v>
      </c>
      <c r="X34" s="64">
        <f t="shared" ca="1" si="6"/>
        <v>29</v>
      </c>
    </row>
    <row r="35" spans="1:24" x14ac:dyDescent="0.2">
      <c r="A35" s="138"/>
      <c r="B35" s="77" t="str">
        <f t="shared" ca="1" si="0"/>
        <v>rack1</v>
      </c>
      <c r="C35" s="25"/>
      <c r="D35" s="26" t="s">
        <v>243</v>
      </c>
      <c r="E35" s="27"/>
      <c r="F35" s="27"/>
      <c r="G35" s="55" t="str">
        <f t="shared" ca="1" si="1"/>
        <v>wagoRack</v>
      </c>
      <c r="H35" s="55" t="str">
        <f t="shared" ca="1" si="1"/>
        <v>node</v>
      </c>
      <c r="I35" s="24">
        <f t="shared" ca="1" si="11"/>
        <v>5</v>
      </c>
      <c r="J35" s="28">
        <v>10</v>
      </c>
      <c r="K35" s="28"/>
      <c r="L35" s="28" t="s">
        <v>244</v>
      </c>
      <c r="M35" s="28">
        <v>0</v>
      </c>
      <c r="N35" s="28">
        <v>1</v>
      </c>
      <c r="O35" s="28">
        <v>0</v>
      </c>
      <c r="P35" s="28">
        <v>1</v>
      </c>
      <c r="Q35" s="28"/>
      <c r="R35" s="28" t="s">
        <v>3</v>
      </c>
      <c r="S35" s="30">
        <v>1</v>
      </c>
      <c r="T35" s="31">
        <f t="shared" ca="1" si="2"/>
        <v>0</v>
      </c>
      <c r="U35" s="31">
        <f t="shared" ca="1" si="3"/>
        <v>30</v>
      </c>
      <c r="V35" s="31">
        <f t="shared" ca="1" si="4"/>
        <v>0</v>
      </c>
      <c r="W35" s="31">
        <f t="shared" ca="1" si="5"/>
        <v>0</v>
      </c>
      <c r="X35" s="64">
        <f t="shared" ca="1" si="6"/>
        <v>30</v>
      </c>
    </row>
    <row r="36" spans="1:24" x14ac:dyDescent="0.2">
      <c r="A36" s="138"/>
      <c r="B36" s="77" t="str">
        <f t="shared" ca="1" si="0"/>
        <v>rack1</v>
      </c>
      <c r="C36" s="25"/>
      <c r="D36" s="26" t="s">
        <v>243</v>
      </c>
      <c r="E36" s="27"/>
      <c r="F36" s="27"/>
      <c r="G36" s="55" t="str">
        <f t="shared" ca="1" si="1"/>
        <v>wagoRack</v>
      </c>
      <c r="H36" s="55" t="str">
        <f t="shared" ca="1" si="1"/>
        <v>node</v>
      </c>
      <c r="I36" s="24">
        <f t="shared" ca="1" si="11"/>
        <v>5</v>
      </c>
      <c r="J36" s="28">
        <v>11</v>
      </c>
      <c r="K36" s="28"/>
      <c r="L36" s="28" t="s">
        <v>244</v>
      </c>
      <c r="M36" s="28">
        <v>0</v>
      </c>
      <c r="N36" s="28">
        <v>1</v>
      </c>
      <c r="O36" s="28">
        <v>0</v>
      </c>
      <c r="P36" s="28">
        <v>1</v>
      </c>
      <c r="Q36" s="28"/>
      <c r="R36" s="28" t="s">
        <v>3</v>
      </c>
      <c r="S36" s="30">
        <v>1</v>
      </c>
      <c r="T36" s="31">
        <f t="shared" ca="1" si="2"/>
        <v>0</v>
      </c>
      <c r="U36" s="31">
        <f t="shared" ca="1" si="3"/>
        <v>31</v>
      </c>
      <c r="V36" s="31">
        <f t="shared" ca="1" si="4"/>
        <v>0</v>
      </c>
      <c r="W36" s="31">
        <f t="shared" ca="1" si="5"/>
        <v>0</v>
      </c>
      <c r="X36" s="64">
        <f t="shared" ca="1" si="6"/>
        <v>31</v>
      </c>
    </row>
    <row r="37" spans="1:24" x14ac:dyDescent="0.2">
      <c r="A37" s="138"/>
      <c r="B37" s="77" t="str">
        <f t="shared" ca="1" si="0"/>
        <v>rack1</v>
      </c>
      <c r="C37" s="25"/>
      <c r="D37" s="26" t="s">
        <v>243</v>
      </c>
      <c r="E37" s="27"/>
      <c r="F37" s="27"/>
      <c r="G37" s="55" t="str">
        <f t="shared" ca="1" si="1"/>
        <v>wagoRack</v>
      </c>
      <c r="H37" s="55" t="str">
        <f t="shared" ca="1" si="1"/>
        <v>node</v>
      </c>
      <c r="I37" s="24">
        <f t="shared" ca="1" si="11"/>
        <v>5</v>
      </c>
      <c r="J37" s="28">
        <v>12</v>
      </c>
      <c r="K37" s="28"/>
      <c r="L37" s="28" t="s">
        <v>244</v>
      </c>
      <c r="M37" s="28">
        <v>0</v>
      </c>
      <c r="N37" s="28">
        <v>1</v>
      </c>
      <c r="O37" s="28">
        <v>0</v>
      </c>
      <c r="P37" s="28">
        <v>1</v>
      </c>
      <c r="Q37" s="28"/>
      <c r="R37" s="28" t="s">
        <v>3</v>
      </c>
      <c r="S37" s="30">
        <v>1</v>
      </c>
      <c r="T37" s="31">
        <f t="shared" ca="1" si="2"/>
        <v>0</v>
      </c>
      <c r="U37" s="31">
        <f t="shared" ca="1" si="3"/>
        <v>32</v>
      </c>
      <c r="V37" s="31">
        <f t="shared" ca="1" si="4"/>
        <v>0</v>
      </c>
      <c r="W37" s="31">
        <f t="shared" ca="1" si="5"/>
        <v>0</v>
      </c>
      <c r="X37" s="64">
        <f t="shared" ca="1" si="6"/>
        <v>32</v>
      </c>
    </row>
    <row r="38" spans="1:24" x14ac:dyDescent="0.2">
      <c r="A38" s="138"/>
      <c r="B38" s="77" t="str">
        <f t="shared" ca="1" si="0"/>
        <v>rack1</v>
      </c>
      <c r="C38" s="25"/>
      <c r="D38" s="26" t="s">
        <v>243</v>
      </c>
      <c r="E38" s="27"/>
      <c r="F38" s="27"/>
      <c r="G38" s="55" t="str">
        <f t="shared" ca="1" si="1"/>
        <v>wagoRack</v>
      </c>
      <c r="H38" s="55" t="str">
        <f t="shared" ca="1" si="1"/>
        <v>node</v>
      </c>
      <c r="I38" s="24">
        <f t="shared" ca="1" si="11"/>
        <v>5</v>
      </c>
      <c r="J38" s="28">
        <v>13</v>
      </c>
      <c r="K38" s="28"/>
      <c r="L38" s="28" t="s">
        <v>244</v>
      </c>
      <c r="M38" s="28">
        <v>0</v>
      </c>
      <c r="N38" s="28">
        <v>1</v>
      </c>
      <c r="O38" s="28">
        <v>0</v>
      </c>
      <c r="P38" s="28">
        <v>1</v>
      </c>
      <c r="Q38" s="28"/>
      <c r="R38" s="28" t="s">
        <v>3</v>
      </c>
      <c r="S38" s="30">
        <v>1</v>
      </c>
      <c r="T38" s="31">
        <f t="shared" ca="1" si="2"/>
        <v>0</v>
      </c>
      <c r="U38" s="31">
        <f t="shared" ca="1" si="3"/>
        <v>33</v>
      </c>
      <c r="V38" s="31">
        <f t="shared" ca="1" si="4"/>
        <v>0</v>
      </c>
      <c r="W38" s="31">
        <f t="shared" ca="1" si="5"/>
        <v>0</v>
      </c>
      <c r="X38" s="64">
        <f t="shared" ca="1" si="6"/>
        <v>33</v>
      </c>
    </row>
    <row r="39" spans="1:24" x14ac:dyDescent="0.2">
      <c r="A39" s="138"/>
      <c r="B39" s="77" t="str">
        <f t="shared" ca="1" si="0"/>
        <v>rack1</v>
      </c>
      <c r="C39" s="25"/>
      <c r="D39" s="26" t="s">
        <v>243</v>
      </c>
      <c r="E39" s="27"/>
      <c r="F39" s="27"/>
      <c r="G39" s="55" t="str">
        <f t="shared" ca="1" si="1"/>
        <v>wagoRack</v>
      </c>
      <c r="H39" s="55" t="str">
        <f t="shared" ca="1" si="1"/>
        <v>node</v>
      </c>
      <c r="I39" s="24">
        <f t="shared" ca="1" si="11"/>
        <v>5</v>
      </c>
      <c r="J39" s="28">
        <v>14</v>
      </c>
      <c r="K39" s="28"/>
      <c r="L39" s="28" t="s">
        <v>244</v>
      </c>
      <c r="M39" s="28">
        <v>0</v>
      </c>
      <c r="N39" s="28">
        <v>1</v>
      </c>
      <c r="O39" s="28">
        <v>0</v>
      </c>
      <c r="P39" s="28">
        <v>1</v>
      </c>
      <c r="Q39" s="28"/>
      <c r="R39" s="28" t="s">
        <v>3</v>
      </c>
      <c r="S39" s="30">
        <v>1</v>
      </c>
      <c r="T39" s="31">
        <f t="shared" ca="1" si="2"/>
        <v>0</v>
      </c>
      <c r="U39" s="31">
        <f t="shared" ca="1" si="3"/>
        <v>34</v>
      </c>
      <c r="V39" s="31">
        <f t="shared" ca="1" si="4"/>
        <v>0</v>
      </c>
      <c r="W39" s="31">
        <f t="shared" ca="1" si="5"/>
        <v>0</v>
      </c>
      <c r="X39" s="64">
        <f t="shared" ca="1" si="6"/>
        <v>34</v>
      </c>
    </row>
    <row r="40" spans="1:24" x14ac:dyDescent="0.2">
      <c r="A40" s="138"/>
      <c r="B40" s="77" t="str">
        <f t="shared" ca="1" si="0"/>
        <v>rack1</v>
      </c>
      <c r="C40" s="25"/>
      <c r="D40" s="26" t="s">
        <v>243</v>
      </c>
      <c r="E40" s="27"/>
      <c r="F40" s="27"/>
      <c r="G40" s="55" t="str">
        <f t="shared" ca="1" si="1"/>
        <v>wagoRack</v>
      </c>
      <c r="H40" s="55" t="str">
        <f t="shared" ca="1" si="1"/>
        <v>node</v>
      </c>
      <c r="I40" s="24">
        <f t="shared" ca="1" si="11"/>
        <v>5</v>
      </c>
      <c r="J40" s="28">
        <v>15</v>
      </c>
      <c r="K40" s="28"/>
      <c r="L40" s="28" t="s">
        <v>244</v>
      </c>
      <c r="M40" s="28">
        <v>0</v>
      </c>
      <c r="N40" s="28">
        <v>1</v>
      </c>
      <c r="O40" s="28">
        <v>0</v>
      </c>
      <c r="P40" s="28">
        <v>1</v>
      </c>
      <c r="Q40" s="28"/>
      <c r="R40" s="28" t="s">
        <v>3</v>
      </c>
      <c r="S40" s="30">
        <v>1</v>
      </c>
      <c r="T40" s="31">
        <f t="shared" ca="1" si="2"/>
        <v>0</v>
      </c>
      <c r="U40" s="31">
        <f t="shared" ca="1" si="3"/>
        <v>35</v>
      </c>
      <c r="V40" s="31">
        <f t="shared" ca="1" si="4"/>
        <v>0</v>
      </c>
      <c r="W40" s="31">
        <f t="shared" ca="1" si="5"/>
        <v>0</v>
      </c>
      <c r="X40" s="64">
        <f t="shared" ca="1" si="6"/>
        <v>35</v>
      </c>
    </row>
    <row r="41" spans="1:24" ht="13.5" thickBot="1" x14ac:dyDescent="0.25">
      <c r="A41" s="139"/>
      <c r="B41" s="78" t="str">
        <f t="shared" ca="1" si="0"/>
        <v>rack1</v>
      </c>
      <c r="C41" s="33"/>
      <c r="D41" s="34" t="s">
        <v>243</v>
      </c>
      <c r="E41" s="35"/>
      <c r="F41" s="35"/>
      <c r="G41" s="58" t="str">
        <f t="shared" ca="1" si="1"/>
        <v>wagoRack</v>
      </c>
      <c r="H41" s="58" t="str">
        <f t="shared" ca="1" si="1"/>
        <v>node</v>
      </c>
      <c r="I41" s="32">
        <f ca="1">OFFSET(I41,-1,0)</f>
        <v>5</v>
      </c>
      <c r="J41" s="32">
        <v>16</v>
      </c>
      <c r="K41" s="43"/>
      <c r="L41" s="32" t="s">
        <v>244</v>
      </c>
      <c r="M41" s="32">
        <v>0</v>
      </c>
      <c r="N41" s="32">
        <v>1</v>
      </c>
      <c r="O41" s="32">
        <v>0</v>
      </c>
      <c r="P41" s="32">
        <v>1</v>
      </c>
      <c r="Q41" s="32"/>
      <c r="R41" s="32" t="s">
        <v>3</v>
      </c>
      <c r="S41" s="36">
        <v>1</v>
      </c>
      <c r="T41" s="37">
        <f t="shared" ca="1" si="2"/>
        <v>0</v>
      </c>
      <c r="U41" s="37">
        <f t="shared" ca="1" si="3"/>
        <v>36</v>
      </c>
      <c r="V41" s="37">
        <f t="shared" ca="1" si="4"/>
        <v>0</v>
      </c>
      <c r="W41" s="37">
        <f t="shared" ca="1" si="5"/>
        <v>0</v>
      </c>
      <c r="X41" s="65">
        <f t="shared" ca="1" si="6"/>
        <v>36</v>
      </c>
    </row>
    <row r="42" spans="1:24" s="66" customFormat="1" x14ac:dyDescent="0.2">
      <c r="A42" s="137" t="s">
        <v>297</v>
      </c>
      <c r="B42" s="76" t="str">
        <f t="shared" ca="1" si="0"/>
        <v>rack1</v>
      </c>
      <c r="C42" s="38"/>
      <c r="D42" s="39" t="s">
        <v>245</v>
      </c>
      <c r="E42" s="27"/>
      <c r="F42" s="27"/>
      <c r="G42" s="55" t="str">
        <f t="shared" ca="1" si="1"/>
        <v>wagoRack</v>
      </c>
      <c r="H42" s="55" t="str">
        <f t="shared" ca="1" si="1"/>
        <v>node</v>
      </c>
      <c r="I42" s="24">
        <f t="shared" ref="I42:I44" ca="1" si="12">OFFSET(I42,-1,0)+1</f>
        <v>6</v>
      </c>
      <c r="J42" s="40">
        <v>1</v>
      </c>
      <c r="K42" s="40">
        <v>1</v>
      </c>
      <c r="L42" s="40">
        <v>2</v>
      </c>
      <c r="M42" s="40">
        <v>0</v>
      </c>
      <c r="N42" s="40">
        <v>32767</v>
      </c>
      <c r="O42" s="40">
        <v>0</v>
      </c>
      <c r="P42" s="40">
        <v>20</v>
      </c>
      <c r="Q42" s="44" t="s">
        <v>246</v>
      </c>
      <c r="R42" s="44" t="s">
        <v>247</v>
      </c>
      <c r="S42" s="41">
        <v>3</v>
      </c>
      <c r="T42" s="42">
        <f t="shared" ca="1" si="2"/>
        <v>0</v>
      </c>
      <c r="U42" s="42">
        <f t="shared" ca="1" si="3"/>
        <v>36</v>
      </c>
      <c r="V42" s="42">
        <f t="shared" ca="1" si="4"/>
        <v>1</v>
      </c>
      <c r="W42" s="42">
        <f t="shared" ca="1" si="5"/>
        <v>0</v>
      </c>
      <c r="X42" s="63">
        <f t="shared" ca="1" si="6"/>
        <v>1</v>
      </c>
    </row>
    <row r="43" spans="1:24" s="66" customFormat="1" ht="13.5" thickBot="1" x14ac:dyDescent="0.25">
      <c r="A43" s="139"/>
      <c r="B43" s="78" t="str">
        <f t="shared" ca="1" si="0"/>
        <v>rack1</v>
      </c>
      <c r="C43" s="33"/>
      <c r="D43" s="34" t="s">
        <v>245</v>
      </c>
      <c r="E43" s="35"/>
      <c r="F43" s="35"/>
      <c r="G43" s="58" t="str">
        <f t="shared" ca="1" si="1"/>
        <v>wagoRack</v>
      </c>
      <c r="H43" s="58" t="str">
        <f t="shared" ca="1" si="1"/>
        <v>node</v>
      </c>
      <c r="I43" s="32">
        <f ca="1">OFFSET(I43,-1,0)</f>
        <v>6</v>
      </c>
      <c r="J43" s="32">
        <v>2</v>
      </c>
      <c r="K43" s="45">
        <v>5</v>
      </c>
      <c r="L43" s="32">
        <v>6</v>
      </c>
      <c r="M43" s="32">
        <v>0</v>
      </c>
      <c r="N43" s="32">
        <v>32767</v>
      </c>
      <c r="O43" s="32">
        <v>0</v>
      </c>
      <c r="P43" s="32">
        <v>20</v>
      </c>
      <c r="Q43" s="43" t="s">
        <v>246</v>
      </c>
      <c r="R43" s="43" t="s">
        <v>247</v>
      </c>
      <c r="S43" s="36">
        <v>3</v>
      </c>
      <c r="T43" s="37">
        <f t="shared" ca="1" si="2"/>
        <v>0</v>
      </c>
      <c r="U43" s="37">
        <f t="shared" ca="1" si="3"/>
        <v>36</v>
      </c>
      <c r="V43" s="37">
        <f t="shared" ca="1" si="4"/>
        <v>2</v>
      </c>
      <c r="W43" s="37">
        <f t="shared" ca="1" si="5"/>
        <v>0</v>
      </c>
      <c r="X43" s="65">
        <f t="shared" ca="1" si="6"/>
        <v>2</v>
      </c>
    </row>
    <row r="44" spans="1:24" s="66" customFormat="1" x14ac:dyDescent="0.2">
      <c r="A44" s="137" t="s">
        <v>298</v>
      </c>
      <c r="B44" s="76" t="str">
        <f t="shared" ca="1" si="0"/>
        <v>rack1</v>
      </c>
      <c r="C44" s="38"/>
      <c r="D44" s="39" t="s">
        <v>245</v>
      </c>
      <c r="E44" s="27"/>
      <c r="F44" s="27"/>
      <c r="G44" s="55" t="str">
        <f t="shared" ca="1" si="1"/>
        <v>wagoRack</v>
      </c>
      <c r="H44" s="55" t="str">
        <f t="shared" ca="1" si="1"/>
        <v>node</v>
      </c>
      <c r="I44" s="24">
        <f t="shared" ca="1" si="12"/>
        <v>7</v>
      </c>
      <c r="J44" s="40">
        <v>1</v>
      </c>
      <c r="K44" s="40">
        <v>1</v>
      </c>
      <c r="L44" s="40">
        <v>2</v>
      </c>
      <c r="M44" s="40">
        <v>0</v>
      </c>
      <c r="N44" s="40">
        <v>32767</v>
      </c>
      <c r="O44" s="40">
        <v>4</v>
      </c>
      <c r="P44" s="40">
        <v>20</v>
      </c>
      <c r="Q44" s="44" t="s">
        <v>246</v>
      </c>
      <c r="R44" s="44" t="s">
        <v>247</v>
      </c>
      <c r="S44" s="41">
        <v>3</v>
      </c>
      <c r="T44" s="42">
        <f t="shared" ca="1" si="2"/>
        <v>0</v>
      </c>
      <c r="U44" s="42">
        <f t="shared" ca="1" si="3"/>
        <v>36</v>
      </c>
      <c r="V44" s="42">
        <f t="shared" ca="1" si="4"/>
        <v>3</v>
      </c>
      <c r="W44" s="42">
        <f t="shared" ca="1" si="5"/>
        <v>0</v>
      </c>
      <c r="X44" s="63">
        <f t="shared" ca="1" si="6"/>
        <v>3</v>
      </c>
    </row>
    <row r="45" spans="1:24" s="66" customFormat="1" ht="13.5" thickBot="1" x14ac:dyDescent="0.25">
      <c r="A45" s="139"/>
      <c r="B45" s="78" t="str">
        <f t="shared" ca="1" si="0"/>
        <v>rack1</v>
      </c>
      <c r="C45" s="33"/>
      <c r="D45" s="34" t="s">
        <v>245</v>
      </c>
      <c r="E45" s="35"/>
      <c r="F45" s="35"/>
      <c r="G45" s="58" t="str">
        <f t="shared" ca="1" si="1"/>
        <v>wagoRack</v>
      </c>
      <c r="H45" s="58" t="str">
        <f t="shared" ca="1" si="1"/>
        <v>node</v>
      </c>
      <c r="I45" s="32">
        <f ca="1">OFFSET(I45,-1,0)</f>
        <v>7</v>
      </c>
      <c r="J45" s="32">
        <v>2</v>
      </c>
      <c r="K45" s="45">
        <v>5</v>
      </c>
      <c r="L45" s="32">
        <v>6</v>
      </c>
      <c r="M45" s="32">
        <v>0</v>
      </c>
      <c r="N45" s="32">
        <v>32767</v>
      </c>
      <c r="O45" s="32">
        <v>4</v>
      </c>
      <c r="P45" s="32">
        <v>20</v>
      </c>
      <c r="Q45" s="43" t="s">
        <v>246</v>
      </c>
      <c r="R45" s="43" t="s">
        <v>247</v>
      </c>
      <c r="S45" s="36">
        <v>3</v>
      </c>
      <c r="T45" s="37">
        <f t="shared" ca="1" si="2"/>
        <v>0</v>
      </c>
      <c r="U45" s="37">
        <f t="shared" ca="1" si="3"/>
        <v>36</v>
      </c>
      <c r="V45" s="37">
        <f t="shared" ca="1" si="4"/>
        <v>4</v>
      </c>
      <c r="W45" s="37">
        <f t="shared" ca="1" si="5"/>
        <v>0</v>
      </c>
      <c r="X45" s="65">
        <f t="shared" ca="1" si="6"/>
        <v>4</v>
      </c>
    </row>
    <row r="46" spans="1:24" s="66" customFormat="1" x14ac:dyDescent="0.2">
      <c r="A46" s="137" t="s">
        <v>300</v>
      </c>
      <c r="B46" s="77" t="str">
        <f t="shared" ca="1" si="0"/>
        <v>rack1</v>
      </c>
      <c r="C46" s="38"/>
      <c r="D46" s="39" t="s">
        <v>245</v>
      </c>
      <c r="E46" s="27"/>
      <c r="F46" s="27"/>
      <c r="G46" s="55" t="str">
        <f t="shared" ca="1" si="1"/>
        <v>wagoRack</v>
      </c>
      <c r="H46" s="55" t="str">
        <f t="shared" ca="1" si="1"/>
        <v>node</v>
      </c>
      <c r="I46" s="24">
        <f t="shared" ca="1" si="9"/>
        <v>8</v>
      </c>
      <c r="J46" s="40">
        <v>1</v>
      </c>
      <c r="K46" s="40">
        <v>1</v>
      </c>
      <c r="L46" s="40">
        <v>2</v>
      </c>
      <c r="M46" s="40">
        <v>0</v>
      </c>
      <c r="N46" s="40">
        <v>32767</v>
      </c>
      <c r="O46" s="40">
        <v>0</v>
      </c>
      <c r="P46" s="40">
        <v>20</v>
      </c>
      <c r="Q46" s="44" t="s">
        <v>246</v>
      </c>
      <c r="R46" s="44" t="s">
        <v>247</v>
      </c>
      <c r="S46" s="41">
        <v>3</v>
      </c>
      <c r="T46" s="42">
        <f t="shared" ca="1" si="2"/>
        <v>0</v>
      </c>
      <c r="U46" s="42">
        <f t="shared" ca="1" si="3"/>
        <v>36</v>
      </c>
      <c r="V46" s="42">
        <f t="shared" ca="1" si="4"/>
        <v>5</v>
      </c>
      <c r="W46" s="42">
        <f t="shared" ca="1" si="5"/>
        <v>0</v>
      </c>
      <c r="X46" s="63">
        <f t="shared" ref="X46:X49" ca="1" si="13">IF(S46=0,T46,IF(S46=1,U46,IF(S46=3,V46,IF(S46=4,W46))))</f>
        <v>5</v>
      </c>
    </row>
    <row r="47" spans="1:24" s="66" customFormat="1" x14ac:dyDescent="0.2">
      <c r="A47" s="138"/>
      <c r="B47" s="77" t="str">
        <f t="shared" ca="1" si="0"/>
        <v>rack1</v>
      </c>
      <c r="C47" s="25"/>
      <c r="D47" s="26" t="s">
        <v>245</v>
      </c>
      <c r="E47" s="27"/>
      <c r="F47" s="27"/>
      <c r="G47" s="55" t="str">
        <f t="shared" ca="1" si="1"/>
        <v>wagoRack</v>
      </c>
      <c r="H47" s="55" t="str">
        <f t="shared" ca="1" si="1"/>
        <v>node</v>
      </c>
      <c r="I47" s="24">
        <f ca="1">OFFSET(I47,-1,0)</f>
        <v>8</v>
      </c>
      <c r="J47" s="28">
        <v>2</v>
      </c>
      <c r="K47" s="28">
        <v>5</v>
      </c>
      <c r="L47" s="28">
        <v>6</v>
      </c>
      <c r="M47" s="40">
        <v>0</v>
      </c>
      <c r="N47" s="40">
        <v>32767</v>
      </c>
      <c r="O47" s="40">
        <v>0</v>
      </c>
      <c r="P47" s="40">
        <v>20</v>
      </c>
      <c r="Q47" s="44" t="s">
        <v>246</v>
      </c>
      <c r="R47" s="29" t="s">
        <v>247</v>
      </c>
      <c r="S47" s="30">
        <v>3</v>
      </c>
      <c r="T47" s="31">
        <f t="shared" ca="1" si="2"/>
        <v>0</v>
      </c>
      <c r="U47" s="31">
        <f t="shared" ca="1" si="3"/>
        <v>36</v>
      </c>
      <c r="V47" s="31">
        <f t="shared" ca="1" si="4"/>
        <v>6</v>
      </c>
      <c r="W47" s="31">
        <f t="shared" ca="1" si="5"/>
        <v>0</v>
      </c>
      <c r="X47" s="64">
        <f t="shared" ca="1" si="13"/>
        <v>6</v>
      </c>
    </row>
    <row r="48" spans="1:24" s="66" customFormat="1" x14ac:dyDescent="0.2">
      <c r="A48" s="138"/>
      <c r="B48" s="77" t="str">
        <f t="shared" ca="1" si="0"/>
        <v>rack1</v>
      </c>
      <c r="C48" s="25"/>
      <c r="D48" s="26" t="s">
        <v>245</v>
      </c>
      <c r="E48" s="27"/>
      <c r="F48" s="27"/>
      <c r="G48" s="55" t="str">
        <f t="shared" ca="1" si="1"/>
        <v>wagoRack</v>
      </c>
      <c r="H48" s="55" t="str">
        <f t="shared" ca="1" si="1"/>
        <v>node</v>
      </c>
      <c r="I48" s="24">
        <f ca="1">OFFSET(I48,-1,0)</f>
        <v>8</v>
      </c>
      <c r="J48" s="28">
        <v>3</v>
      </c>
      <c r="K48" s="28">
        <v>3</v>
      </c>
      <c r="L48" s="28">
        <v>4</v>
      </c>
      <c r="M48" s="40">
        <v>0</v>
      </c>
      <c r="N48" s="40">
        <v>32767</v>
      </c>
      <c r="O48" s="40">
        <v>0</v>
      </c>
      <c r="P48" s="40">
        <v>20</v>
      </c>
      <c r="Q48" s="44" t="s">
        <v>246</v>
      </c>
      <c r="R48" s="29" t="s">
        <v>247</v>
      </c>
      <c r="S48" s="30">
        <v>3</v>
      </c>
      <c r="T48" s="31">
        <f t="shared" ca="1" si="2"/>
        <v>0</v>
      </c>
      <c r="U48" s="31">
        <f t="shared" ca="1" si="3"/>
        <v>36</v>
      </c>
      <c r="V48" s="31">
        <f t="shared" ca="1" si="4"/>
        <v>7</v>
      </c>
      <c r="W48" s="31">
        <f t="shared" ca="1" si="5"/>
        <v>0</v>
      </c>
      <c r="X48" s="64">
        <f t="shared" ca="1" si="13"/>
        <v>7</v>
      </c>
    </row>
    <row r="49" spans="1:24" s="66" customFormat="1" ht="13.5" thickBot="1" x14ac:dyDescent="0.25">
      <c r="A49" s="139"/>
      <c r="B49" s="78" t="str">
        <f t="shared" ca="1" si="0"/>
        <v>rack1</v>
      </c>
      <c r="C49" s="33"/>
      <c r="D49" s="34" t="s">
        <v>245</v>
      </c>
      <c r="E49" s="35"/>
      <c r="F49" s="35"/>
      <c r="G49" s="58" t="str">
        <f t="shared" ca="1" si="1"/>
        <v>wagoRack</v>
      </c>
      <c r="H49" s="58" t="str">
        <f t="shared" ca="1" si="1"/>
        <v>node</v>
      </c>
      <c r="I49" s="32">
        <f ca="1">OFFSET(I49,-1,0)</f>
        <v>8</v>
      </c>
      <c r="J49" s="32">
        <v>4</v>
      </c>
      <c r="K49" s="45">
        <v>7</v>
      </c>
      <c r="L49" s="32">
        <v>8</v>
      </c>
      <c r="M49" s="46">
        <v>0</v>
      </c>
      <c r="N49" s="46">
        <v>32767</v>
      </c>
      <c r="O49" s="46">
        <v>0</v>
      </c>
      <c r="P49" s="46">
        <v>20</v>
      </c>
      <c r="Q49" s="47" t="s">
        <v>246</v>
      </c>
      <c r="R49" s="43" t="s">
        <v>247</v>
      </c>
      <c r="S49" s="36">
        <v>3</v>
      </c>
      <c r="T49" s="37">
        <f t="shared" ca="1" si="2"/>
        <v>0</v>
      </c>
      <c r="U49" s="37">
        <f t="shared" ca="1" si="3"/>
        <v>36</v>
      </c>
      <c r="V49" s="37">
        <f t="shared" ca="1" si="4"/>
        <v>8</v>
      </c>
      <c r="W49" s="37">
        <f t="shared" ca="1" si="5"/>
        <v>0</v>
      </c>
      <c r="X49" s="65">
        <f t="shared" ca="1" si="13"/>
        <v>8</v>
      </c>
    </row>
    <row r="50" spans="1:24" x14ac:dyDescent="0.2">
      <c r="A50" s="137" t="s">
        <v>290</v>
      </c>
      <c r="B50" s="77" t="str">
        <f t="shared" ca="1" si="0"/>
        <v>rack1</v>
      </c>
      <c r="C50" s="38"/>
      <c r="D50" s="39" t="s">
        <v>245</v>
      </c>
      <c r="E50" s="27"/>
      <c r="F50" s="27"/>
      <c r="G50" s="55" t="str">
        <f t="shared" ca="1" si="1"/>
        <v>wagoRack</v>
      </c>
      <c r="H50" s="55" t="str">
        <f t="shared" ca="1" si="1"/>
        <v>node</v>
      </c>
      <c r="I50" s="24">
        <f t="shared" ca="1" si="9"/>
        <v>9</v>
      </c>
      <c r="J50" s="40">
        <v>1</v>
      </c>
      <c r="K50" s="40">
        <v>1</v>
      </c>
      <c r="L50" s="40">
        <v>2</v>
      </c>
      <c r="M50" s="40">
        <v>0</v>
      </c>
      <c r="N50" s="40">
        <v>32767</v>
      </c>
      <c r="O50" s="40">
        <v>4</v>
      </c>
      <c r="P50" s="40">
        <v>20</v>
      </c>
      <c r="Q50" s="44" t="s">
        <v>246</v>
      </c>
      <c r="R50" s="44" t="s">
        <v>247</v>
      </c>
      <c r="S50" s="41">
        <v>3</v>
      </c>
      <c r="T50" s="42">
        <f t="shared" ca="1" si="2"/>
        <v>0</v>
      </c>
      <c r="U50" s="42">
        <f t="shared" ca="1" si="3"/>
        <v>36</v>
      </c>
      <c r="V50" s="42">
        <f t="shared" ca="1" si="4"/>
        <v>9</v>
      </c>
      <c r="W50" s="42">
        <f t="shared" ca="1" si="5"/>
        <v>0</v>
      </c>
      <c r="X50" s="63">
        <f t="shared" ca="1" si="6"/>
        <v>9</v>
      </c>
    </row>
    <row r="51" spans="1:24" x14ac:dyDescent="0.2">
      <c r="A51" s="138"/>
      <c r="B51" s="77" t="str">
        <f t="shared" ca="1" si="0"/>
        <v>rack1</v>
      </c>
      <c r="C51" s="25"/>
      <c r="D51" s="26" t="s">
        <v>245</v>
      </c>
      <c r="E51" s="27"/>
      <c r="F51" s="27"/>
      <c r="G51" s="55" t="str">
        <f t="shared" ca="1" si="1"/>
        <v>wagoRack</v>
      </c>
      <c r="H51" s="55" t="str">
        <f t="shared" ca="1" si="1"/>
        <v>node</v>
      </c>
      <c r="I51" s="24">
        <f ca="1">OFFSET(I51,-1,0)</f>
        <v>9</v>
      </c>
      <c r="J51" s="28">
        <v>2</v>
      </c>
      <c r="K51" s="28">
        <v>5</v>
      </c>
      <c r="L51" s="28">
        <v>6</v>
      </c>
      <c r="M51" s="40">
        <v>0</v>
      </c>
      <c r="N51" s="40">
        <v>32767</v>
      </c>
      <c r="O51" s="40">
        <v>4</v>
      </c>
      <c r="P51" s="40">
        <v>20</v>
      </c>
      <c r="Q51" s="44" t="s">
        <v>246</v>
      </c>
      <c r="R51" s="29" t="s">
        <v>247</v>
      </c>
      <c r="S51" s="30">
        <v>3</v>
      </c>
      <c r="T51" s="31">
        <f t="shared" ca="1" si="2"/>
        <v>0</v>
      </c>
      <c r="U51" s="31">
        <f t="shared" ca="1" si="3"/>
        <v>36</v>
      </c>
      <c r="V51" s="31">
        <f t="shared" ca="1" si="4"/>
        <v>10</v>
      </c>
      <c r="W51" s="31">
        <f t="shared" ca="1" si="5"/>
        <v>0</v>
      </c>
      <c r="X51" s="64">
        <f t="shared" ca="1" si="6"/>
        <v>10</v>
      </c>
    </row>
    <row r="52" spans="1:24" x14ac:dyDescent="0.2">
      <c r="A52" s="138"/>
      <c r="B52" s="77" t="str">
        <f t="shared" ca="1" si="0"/>
        <v>rack1</v>
      </c>
      <c r="C52" s="25"/>
      <c r="D52" s="26" t="s">
        <v>245</v>
      </c>
      <c r="E52" s="27"/>
      <c r="F52" s="27"/>
      <c r="G52" s="55" t="str">
        <f t="shared" ca="1" si="1"/>
        <v>wagoRack</v>
      </c>
      <c r="H52" s="55" t="str">
        <f t="shared" ca="1" si="1"/>
        <v>node</v>
      </c>
      <c r="I52" s="24">
        <f ca="1">OFFSET(I52,-1,0)</f>
        <v>9</v>
      </c>
      <c r="J52" s="28">
        <v>3</v>
      </c>
      <c r="K52" s="28">
        <v>3</v>
      </c>
      <c r="L52" s="28">
        <v>4</v>
      </c>
      <c r="M52" s="40">
        <v>0</v>
      </c>
      <c r="N52" s="40">
        <v>32767</v>
      </c>
      <c r="O52" s="40">
        <v>4</v>
      </c>
      <c r="P52" s="40">
        <v>20</v>
      </c>
      <c r="Q52" s="44" t="s">
        <v>246</v>
      </c>
      <c r="R52" s="29" t="s">
        <v>247</v>
      </c>
      <c r="S52" s="30">
        <v>3</v>
      </c>
      <c r="T52" s="31">
        <f t="shared" ca="1" si="2"/>
        <v>0</v>
      </c>
      <c r="U52" s="31">
        <f t="shared" ca="1" si="3"/>
        <v>36</v>
      </c>
      <c r="V52" s="31">
        <f t="shared" ca="1" si="4"/>
        <v>11</v>
      </c>
      <c r="W52" s="31">
        <f t="shared" ca="1" si="5"/>
        <v>0</v>
      </c>
      <c r="X52" s="64">
        <f t="shared" ca="1" si="6"/>
        <v>11</v>
      </c>
    </row>
    <row r="53" spans="1:24" ht="13.5" thickBot="1" x14ac:dyDescent="0.25">
      <c r="A53" s="139"/>
      <c r="B53" s="78" t="str">
        <f t="shared" ca="1" si="0"/>
        <v>rack1</v>
      </c>
      <c r="C53" s="33"/>
      <c r="D53" s="34" t="s">
        <v>245</v>
      </c>
      <c r="E53" s="35"/>
      <c r="F53" s="35"/>
      <c r="G53" s="58" t="str">
        <f t="shared" ca="1" si="1"/>
        <v>wagoRack</v>
      </c>
      <c r="H53" s="58" t="str">
        <f t="shared" ca="1" si="1"/>
        <v>node</v>
      </c>
      <c r="I53" s="32">
        <f ca="1">OFFSET(I53,-1,0)</f>
        <v>9</v>
      </c>
      <c r="J53" s="32">
        <v>4</v>
      </c>
      <c r="K53" s="45">
        <v>7</v>
      </c>
      <c r="L53" s="32">
        <v>8</v>
      </c>
      <c r="M53" s="46">
        <v>0</v>
      </c>
      <c r="N53" s="46">
        <v>32767</v>
      </c>
      <c r="O53" s="46">
        <v>4</v>
      </c>
      <c r="P53" s="46">
        <v>20</v>
      </c>
      <c r="Q53" s="47" t="s">
        <v>246</v>
      </c>
      <c r="R53" s="43" t="s">
        <v>247</v>
      </c>
      <c r="S53" s="36">
        <v>3</v>
      </c>
      <c r="T53" s="37">
        <f t="shared" ca="1" si="2"/>
        <v>0</v>
      </c>
      <c r="U53" s="37">
        <f t="shared" ca="1" si="3"/>
        <v>36</v>
      </c>
      <c r="V53" s="37">
        <f t="shared" ca="1" si="4"/>
        <v>12</v>
      </c>
      <c r="W53" s="37">
        <f t="shared" ca="1" si="5"/>
        <v>0</v>
      </c>
      <c r="X53" s="65">
        <f t="shared" ca="1" si="6"/>
        <v>12</v>
      </c>
    </row>
    <row r="54" spans="1:24" x14ac:dyDescent="0.2">
      <c r="A54" s="137" t="s">
        <v>292</v>
      </c>
      <c r="B54" s="76" t="str">
        <f t="shared" ref="B54:B59" ca="1" si="14">TEXT(OFFSET(B54,-1,0),"")</f>
        <v>rack1</v>
      </c>
      <c r="C54" s="38"/>
      <c r="D54" s="39" t="s">
        <v>245</v>
      </c>
      <c r="E54" s="27"/>
      <c r="F54" s="27"/>
      <c r="G54" s="55" t="str">
        <f t="shared" ref="G54:H59" ca="1" si="15">TEXT(OFFSET(G54,-1,0),"")</f>
        <v>wagoRack</v>
      </c>
      <c r="H54" s="55" t="str">
        <f t="shared" ca="1" si="15"/>
        <v>node</v>
      </c>
      <c r="I54" s="24">
        <f ca="1">OFFSET(I54,-1,0)+1</f>
        <v>10</v>
      </c>
      <c r="J54" s="40">
        <v>1</v>
      </c>
      <c r="K54" s="40">
        <v>1</v>
      </c>
      <c r="L54" s="40">
        <v>3</v>
      </c>
      <c r="M54" s="40">
        <v>0</v>
      </c>
      <c r="N54" s="40">
        <v>32767</v>
      </c>
      <c r="O54" s="40">
        <v>0</v>
      </c>
      <c r="P54" s="40">
        <v>10</v>
      </c>
      <c r="Q54" s="44" t="s">
        <v>248</v>
      </c>
      <c r="R54" s="44" t="s">
        <v>247</v>
      </c>
      <c r="S54" s="41">
        <v>3</v>
      </c>
      <c r="T54" s="42">
        <f t="shared" ref="T54:T59" ca="1" si="16">IF($S54=0,OFFSET(T54,-1,0)+1,OFFSET(T54,-1,0))</f>
        <v>0</v>
      </c>
      <c r="U54" s="42">
        <f t="shared" ref="U54:U59" ca="1" si="17">IF($S54=1,OFFSET(U54,-1,0)+1,OFFSET(U54,-1,0))</f>
        <v>36</v>
      </c>
      <c r="V54" s="42">
        <f t="shared" ref="V54:V59" ca="1" si="18">IF($S54=3,OFFSET(V54,-1,0)+1,OFFSET(V54,-1,0))</f>
        <v>13</v>
      </c>
      <c r="W54" s="42">
        <f t="shared" ref="W54:W59" ca="1" si="19">IF($S54=4,OFFSET(W54,-1,0)+1,OFFSET(W54,-1,0))</f>
        <v>0</v>
      </c>
      <c r="X54" s="63">
        <f t="shared" ref="X54:X59" ca="1" si="20">IF(S54=0,T54,IF(S54=1,U54,IF(S54=3,V54,IF(S54=4,W54))))</f>
        <v>13</v>
      </c>
    </row>
    <row r="55" spans="1:24" ht="13.5" thickBot="1" x14ac:dyDescent="0.25">
      <c r="A55" s="139"/>
      <c r="B55" s="78" t="str">
        <f t="shared" ca="1" si="14"/>
        <v>rack1</v>
      </c>
      <c r="C55" s="33"/>
      <c r="D55" s="34" t="s">
        <v>245</v>
      </c>
      <c r="E55" s="35"/>
      <c r="F55" s="35"/>
      <c r="G55" s="58" t="str">
        <f t="shared" ca="1" si="15"/>
        <v>wagoRack</v>
      </c>
      <c r="H55" s="58" t="str">
        <f t="shared" ca="1" si="15"/>
        <v>node</v>
      </c>
      <c r="I55" s="32">
        <f ca="1">OFFSET(I55,-1,0)</f>
        <v>10</v>
      </c>
      <c r="J55" s="32">
        <v>2</v>
      </c>
      <c r="K55" s="45">
        <v>5</v>
      </c>
      <c r="L55" s="32">
        <v>7</v>
      </c>
      <c r="M55" s="32">
        <v>0</v>
      </c>
      <c r="N55" s="32">
        <v>32767</v>
      </c>
      <c r="O55" s="32">
        <v>0</v>
      </c>
      <c r="P55" s="32">
        <v>10</v>
      </c>
      <c r="Q55" s="43" t="s">
        <v>248</v>
      </c>
      <c r="R55" s="43" t="s">
        <v>247</v>
      </c>
      <c r="S55" s="36">
        <v>3</v>
      </c>
      <c r="T55" s="37">
        <f t="shared" ca="1" si="16"/>
        <v>0</v>
      </c>
      <c r="U55" s="37">
        <f t="shared" ca="1" si="17"/>
        <v>36</v>
      </c>
      <c r="V55" s="37">
        <f t="shared" ca="1" si="18"/>
        <v>14</v>
      </c>
      <c r="W55" s="37">
        <f t="shared" ca="1" si="19"/>
        <v>0</v>
      </c>
      <c r="X55" s="65">
        <f t="shared" ca="1" si="20"/>
        <v>14</v>
      </c>
    </row>
    <row r="56" spans="1:24" s="66" customFormat="1" x14ac:dyDescent="0.2">
      <c r="A56" s="137" t="s">
        <v>301</v>
      </c>
      <c r="B56" s="76" t="str">
        <f t="shared" ca="1" si="14"/>
        <v>rack1</v>
      </c>
      <c r="C56" s="38"/>
      <c r="D56" s="39" t="s">
        <v>245</v>
      </c>
      <c r="E56" s="27"/>
      <c r="F56" s="27"/>
      <c r="G56" s="55" t="str">
        <f t="shared" ca="1" si="15"/>
        <v>wagoRack</v>
      </c>
      <c r="H56" s="55" t="str">
        <f t="shared" ca="1" si="15"/>
        <v>node</v>
      </c>
      <c r="I56" s="24">
        <f t="shared" ref="I56:I58" ca="1" si="21">OFFSET(I56,-1,0)+1</f>
        <v>11</v>
      </c>
      <c r="J56" s="40">
        <v>1</v>
      </c>
      <c r="K56" s="40">
        <v>1</v>
      </c>
      <c r="L56" s="40">
        <v>2</v>
      </c>
      <c r="M56" s="40">
        <v>0</v>
      </c>
      <c r="N56" s="40">
        <v>32767</v>
      </c>
      <c r="O56" s="40">
        <v>0</v>
      </c>
      <c r="P56" s="40">
        <v>10</v>
      </c>
      <c r="Q56" s="44" t="s">
        <v>248</v>
      </c>
      <c r="R56" s="44" t="s">
        <v>247</v>
      </c>
      <c r="S56" s="41">
        <v>3</v>
      </c>
      <c r="T56" s="42">
        <f t="shared" ca="1" si="16"/>
        <v>0</v>
      </c>
      <c r="U56" s="42">
        <f t="shared" ca="1" si="17"/>
        <v>36</v>
      </c>
      <c r="V56" s="42">
        <f t="shared" ca="1" si="18"/>
        <v>15</v>
      </c>
      <c r="W56" s="42">
        <f t="shared" ca="1" si="19"/>
        <v>0</v>
      </c>
      <c r="X56" s="63">
        <f t="shared" ca="1" si="20"/>
        <v>15</v>
      </c>
    </row>
    <row r="57" spans="1:24" s="66" customFormat="1" ht="13.5" thickBot="1" x14ac:dyDescent="0.25">
      <c r="A57" s="139"/>
      <c r="B57" s="78" t="str">
        <f t="shared" ca="1" si="14"/>
        <v>rack1</v>
      </c>
      <c r="C57" s="33"/>
      <c r="D57" s="34" t="s">
        <v>245</v>
      </c>
      <c r="E57" s="35"/>
      <c r="F57" s="35"/>
      <c r="G57" s="58" t="str">
        <f t="shared" ca="1" si="15"/>
        <v>wagoRack</v>
      </c>
      <c r="H57" s="58" t="str">
        <f t="shared" ca="1" si="15"/>
        <v>node</v>
      </c>
      <c r="I57" s="32">
        <f ca="1">OFFSET(I57,-1,0)</f>
        <v>11</v>
      </c>
      <c r="J57" s="32">
        <v>2</v>
      </c>
      <c r="K57" s="45">
        <v>5</v>
      </c>
      <c r="L57" s="32">
        <v>6</v>
      </c>
      <c r="M57" s="32">
        <v>0</v>
      </c>
      <c r="N57" s="32">
        <v>32767</v>
      </c>
      <c r="O57" s="32">
        <v>0</v>
      </c>
      <c r="P57" s="32">
        <v>10</v>
      </c>
      <c r="Q57" s="43" t="s">
        <v>248</v>
      </c>
      <c r="R57" s="43" t="s">
        <v>247</v>
      </c>
      <c r="S57" s="36">
        <v>3</v>
      </c>
      <c r="T57" s="37">
        <f t="shared" ca="1" si="16"/>
        <v>0</v>
      </c>
      <c r="U57" s="37">
        <f t="shared" ca="1" si="17"/>
        <v>36</v>
      </c>
      <c r="V57" s="37">
        <f t="shared" ca="1" si="18"/>
        <v>16</v>
      </c>
      <c r="W57" s="37">
        <f t="shared" ca="1" si="19"/>
        <v>0</v>
      </c>
      <c r="X57" s="65">
        <f t="shared" ca="1" si="20"/>
        <v>16</v>
      </c>
    </row>
    <row r="58" spans="1:24" s="66" customFormat="1" x14ac:dyDescent="0.2">
      <c r="A58" s="137" t="s">
        <v>304</v>
      </c>
      <c r="B58" s="76" t="str">
        <f t="shared" ca="1" si="14"/>
        <v>rack1</v>
      </c>
      <c r="C58" s="38"/>
      <c r="D58" s="39" t="s">
        <v>245</v>
      </c>
      <c r="E58" s="27"/>
      <c r="F58" s="27"/>
      <c r="G58" s="55" t="str">
        <f t="shared" ca="1" si="15"/>
        <v>wagoRack</v>
      </c>
      <c r="H58" s="55" t="str">
        <f t="shared" ca="1" si="15"/>
        <v>node</v>
      </c>
      <c r="I58" s="24">
        <f t="shared" ca="1" si="21"/>
        <v>12</v>
      </c>
      <c r="J58" s="40">
        <v>1</v>
      </c>
      <c r="K58" s="40">
        <v>1</v>
      </c>
      <c r="L58" s="40">
        <v>2</v>
      </c>
      <c r="M58" s="40">
        <v>-32767</v>
      </c>
      <c r="N58" s="40">
        <v>32767</v>
      </c>
      <c r="O58" s="40">
        <v>-10</v>
      </c>
      <c r="P58" s="40">
        <v>10</v>
      </c>
      <c r="Q58" s="44" t="s">
        <v>248</v>
      </c>
      <c r="R58" s="44" t="s">
        <v>247</v>
      </c>
      <c r="S58" s="41">
        <v>3</v>
      </c>
      <c r="T58" s="42">
        <f t="shared" ca="1" si="16"/>
        <v>0</v>
      </c>
      <c r="U58" s="42">
        <f t="shared" ca="1" si="17"/>
        <v>36</v>
      </c>
      <c r="V58" s="42">
        <f t="shared" ca="1" si="18"/>
        <v>17</v>
      </c>
      <c r="W58" s="42">
        <f t="shared" ca="1" si="19"/>
        <v>0</v>
      </c>
      <c r="X58" s="63">
        <f t="shared" ca="1" si="20"/>
        <v>17</v>
      </c>
    </row>
    <row r="59" spans="1:24" s="66" customFormat="1" ht="13.5" thickBot="1" x14ac:dyDescent="0.25">
      <c r="A59" s="139"/>
      <c r="B59" s="78" t="str">
        <f t="shared" ca="1" si="14"/>
        <v>rack1</v>
      </c>
      <c r="C59" s="33"/>
      <c r="D59" s="34" t="s">
        <v>245</v>
      </c>
      <c r="E59" s="35"/>
      <c r="F59" s="35"/>
      <c r="G59" s="58" t="str">
        <f t="shared" ca="1" si="15"/>
        <v>wagoRack</v>
      </c>
      <c r="H59" s="58" t="str">
        <f t="shared" ca="1" si="15"/>
        <v>node</v>
      </c>
      <c r="I59" s="32">
        <f ca="1">OFFSET(I59,-1,0)</f>
        <v>12</v>
      </c>
      <c r="J59" s="32">
        <v>2</v>
      </c>
      <c r="K59" s="45">
        <v>5</v>
      </c>
      <c r="L59" s="32">
        <v>6</v>
      </c>
      <c r="M59" s="32">
        <v>-32767</v>
      </c>
      <c r="N59" s="32">
        <v>32767</v>
      </c>
      <c r="O59" s="32">
        <v>-10</v>
      </c>
      <c r="P59" s="32">
        <v>10</v>
      </c>
      <c r="Q59" s="43" t="s">
        <v>248</v>
      </c>
      <c r="R59" s="43" t="s">
        <v>247</v>
      </c>
      <c r="S59" s="36">
        <v>3</v>
      </c>
      <c r="T59" s="37">
        <f t="shared" ca="1" si="16"/>
        <v>0</v>
      </c>
      <c r="U59" s="37">
        <f t="shared" ca="1" si="17"/>
        <v>36</v>
      </c>
      <c r="V59" s="37">
        <f t="shared" ca="1" si="18"/>
        <v>18</v>
      </c>
      <c r="W59" s="37">
        <f t="shared" ca="1" si="19"/>
        <v>0</v>
      </c>
      <c r="X59" s="65">
        <f t="shared" ca="1" si="20"/>
        <v>18</v>
      </c>
    </row>
    <row r="60" spans="1:24" x14ac:dyDescent="0.2">
      <c r="A60" s="137" t="s">
        <v>291</v>
      </c>
      <c r="B60" s="77" t="str">
        <f t="shared" ca="1" si="0"/>
        <v>rack1</v>
      </c>
      <c r="C60" s="38"/>
      <c r="D60" s="39" t="s">
        <v>245</v>
      </c>
      <c r="E60" s="27"/>
      <c r="F60" s="27"/>
      <c r="G60" s="55" t="str">
        <f t="shared" ca="1" si="1"/>
        <v>wagoRack</v>
      </c>
      <c r="H60" s="55" t="str">
        <f t="shared" ca="1" si="1"/>
        <v>node</v>
      </c>
      <c r="I60" s="24">
        <f t="shared" ca="1" si="9"/>
        <v>13</v>
      </c>
      <c r="J60" s="40">
        <v>1</v>
      </c>
      <c r="K60" s="40">
        <v>1</v>
      </c>
      <c r="L60" s="40">
        <v>2</v>
      </c>
      <c r="M60" s="40">
        <v>-32767</v>
      </c>
      <c r="N60" s="40">
        <v>32767</v>
      </c>
      <c r="O60" s="40">
        <v>-10</v>
      </c>
      <c r="P60" s="40">
        <v>10</v>
      </c>
      <c r="Q60" s="44" t="s">
        <v>248</v>
      </c>
      <c r="R60" s="44" t="s">
        <v>247</v>
      </c>
      <c r="S60" s="41">
        <v>3</v>
      </c>
      <c r="T60" s="42">
        <f t="shared" ca="1" si="2"/>
        <v>0</v>
      </c>
      <c r="U60" s="42">
        <f t="shared" ca="1" si="3"/>
        <v>36</v>
      </c>
      <c r="V60" s="42">
        <f t="shared" ca="1" si="4"/>
        <v>19</v>
      </c>
      <c r="W60" s="42">
        <f t="shared" ca="1" si="5"/>
        <v>0</v>
      </c>
      <c r="X60" s="63">
        <f t="shared" ca="1" si="6"/>
        <v>19</v>
      </c>
    </row>
    <row r="61" spans="1:24" x14ac:dyDescent="0.2">
      <c r="A61" s="138"/>
      <c r="B61" s="77" t="str">
        <f t="shared" ca="1" si="0"/>
        <v>rack1</v>
      </c>
      <c r="C61" s="25"/>
      <c r="D61" s="26" t="s">
        <v>245</v>
      </c>
      <c r="E61" s="27"/>
      <c r="F61" s="27"/>
      <c r="G61" s="55" t="str">
        <f t="shared" ca="1" si="1"/>
        <v>wagoRack</v>
      </c>
      <c r="H61" s="55" t="str">
        <f t="shared" ca="1" si="1"/>
        <v>node</v>
      </c>
      <c r="I61" s="24">
        <f ca="1">OFFSET(I61,-1,0)</f>
        <v>13</v>
      </c>
      <c r="J61" s="28">
        <v>2</v>
      </c>
      <c r="K61" s="28">
        <v>5</v>
      </c>
      <c r="L61" s="28">
        <v>6</v>
      </c>
      <c r="M61" s="28">
        <v>-32767</v>
      </c>
      <c r="N61" s="28">
        <v>32767</v>
      </c>
      <c r="O61" s="28">
        <v>-10</v>
      </c>
      <c r="P61" s="28">
        <v>10</v>
      </c>
      <c r="Q61" s="29" t="s">
        <v>248</v>
      </c>
      <c r="R61" s="29" t="s">
        <v>247</v>
      </c>
      <c r="S61" s="30">
        <v>3</v>
      </c>
      <c r="T61" s="31">
        <f t="shared" ca="1" si="2"/>
        <v>0</v>
      </c>
      <c r="U61" s="31">
        <f t="shared" ca="1" si="3"/>
        <v>36</v>
      </c>
      <c r="V61" s="31">
        <f t="shared" ca="1" si="4"/>
        <v>20</v>
      </c>
      <c r="W61" s="31">
        <f t="shared" ca="1" si="5"/>
        <v>0</v>
      </c>
      <c r="X61" s="64">
        <f t="shared" ca="1" si="6"/>
        <v>20</v>
      </c>
    </row>
    <row r="62" spans="1:24" x14ac:dyDescent="0.2">
      <c r="A62" s="138"/>
      <c r="B62" s="77" t="str">
        <f t="shared" ca="1" si="0"/>
        <v>rack1</v>
      </c>
      <c r="C62" s="25"/>
      <c r="D62" s="26" t="s">
        <v>245</v>
      </c>
      <c r="E62" s="27"/>
      <c r="F62" s="27"/>
      <c r="G62" s="55" t="str">
        <f t="shared" ca="1" si="1"/>
        <v>wagoRack</v>
      </c>
      <c r="H62" s="55" t="str">
        <f t="shared" ca="1" si="1"/>
        <v>node</v>
      </c>
      <c r="I62" s="24">
        <f ca="1">OFFSET(I62,-1,0)</f>
        <v>13</v>
      </c>
      <c r="J62" s="28">
        <v>3</v>
      </c>
      <c r="K62" s="28">
        <v>3</v>
      </c>
      <c r="L62" s="28">
        <v>4</v>
      </c>
      <c r="M62" s="28">
        <v>-32767</v>
      </c>
      <c r="N62" s="28">
        <v>32767</v>
      </c>
      <c r="O62" s="28">
        <v>-10</v>
      </c>
      <c r="P62" s="28">
        <v>10</v>
      </c>
      <c r="Q62" s="29" t="s">
        <v>248</v>
      </c>
      <c r="R62" s="29" t="s">
        <v>247</v>
      </c>
      <c r="S62" s="30">
        <v>3</v>
      </c>
      <c r="T62" s="31">
        <f t="shared" ca="1" si="2"/>
        <v>0</v>
      </c>
      <c r="U62" s="31">
        <f t="shared" ca="1" si="3"/>
        <v>36</v>
      </c>
      <c r="V62" s="31">
        <f t="shared" ca="1" si="4"/>
        <v>21</v>
      </c>
      <c r="W62" s="31">
        <f t="shared" ca="1" si="5"/>
        <v>0</v>
      </c>
      <c r="X62" s="64">
        <f t="shared" ca="1" si="6"/>
        <v>21</v>
      </c>
    </row>
    <row r="63" spans="1:24" ht="13.5" thickBot="1" x14ac:dyDescent="0.25">
      <c r="A63" s="139"/>
      <c r="B63" s="83" t="str">
        <f t="shared" ca="1" si="0"/>
        <v>rack1</v>
      </c>
      <c r="C63" s="33"/>
      <c r="D63" s="34" t="s">
        <v>245</v>
      </c>
      <c r="E63" s="35"/>
      <c r="F63" s="35"/>
      <c r="G63" s="58" t="str">
        <f t="shared" ca="1" si="1"/>
        <v>wagoRack</v>
      </c>
      <c r="H63" s="58" t="str">
        <f t="shared" ca="1" si="1"/>
        <v>node</v>
      </c>
      <c r="I63" s="32">
        <f ca="1">OFFSET(I63,-1,0)</f>
        <v>13</v>
      </c>
      <c r="J63" s="32">
        <v>4</v>
      </c>
      <c r="K63" s="45">
        <v>7</v>
      </c>
      <c r="L63" s="32">
        <v>8</v>
      </c>
      <c r="M63" s="32">
        <v>-32767</v>
      </c>
      <c r="N63" s="32">
        <v>32767</v>
      </c>
      <c r="O63" s="32">
        <v>-10</v>
      </c>
      <c r="P63" s="32">
        <v>10</v>
      </c>
      <c r="Q63" s="43" t="s">
        <v>248</v>
      </c>
      <c r="R63" s="43" t="s">
        <v>247</v>
      </c>
      <c r="S63" s="36">
        <v>3</v>
      </c>
      <c r="T63" s="37">
        <f t="shared" ca="1" si="2"/>
        <v>0</v>
      </c>
      <c r="U63" s="37">
        <f t="shared" ca="1" si="3"/>
        <v>36</v>
      </c>
      <c r="V63" s="37">
        <f t="shared" ca="1" si="4"/>
        <v>22</v>
      </c>
      <c r="W63" s="37">
        <f t="shared" ca="1" si="5"/>
        <v>0</v>
      </c>
      <c r="X63" s="65">
        <f t="shared" ca="1" si="6"/>
        <v>22</v>
      </c>
    </row>
    <row r="64" spans="1:24" s="66" customFormat="1" x14ac:dyDescent="0.2">
      <c r="A64" s="137" t="s">
        <v>302</v>
      </c>
      <c r="B64" s="77" t="str">
        <f t="shared" ca="1" si="0"/>
        <v>rack1</v>
      </c>
      <c r="C64" s="38"/>
      <c r="D64" s="39" t="s">
        <v>245</v>
      </c>
      <c r="E64" s="27"/>
      <c r="F64" s="27"/>
      <c r="G64" s="55" t="str">
        <f t="shared" ca="1" si="1"/>
        <v>wagoRack</v>
      </c>
      <c r="H64" s="55" t="str">
        <f t="shared" ca="1" si="1"/>
        <v>node</v>
      </c>
      <c r="I64" s="24">
        <f t="shared" ca="1" si="9"/>
        <v>14</v>
      </c>
      <c r="J64" s="40">
        <v>1</v>
      </c>
      <c r="K64" s="40">
        <v>1</v>
      </c>
      <c r="L64" s="40">
        <v>2</v>
      </c>
      <c r="M64" s="40">
        <v>0</v>
      </c>
      <c r="N64" s="40">
        <v>32767</v>
      </c>
      <c r="O64" s="40">
        <v>0</v>
      </c>
      <c r="P64" s="40">
        <v>10</v>
      </c>
      <c r="Q64" s="44" t="s">
        <v>248</v>
      </c>
      <c r="R64" s="44" t="s">
        <v>247</v>
      </c>
      <c r="S64" s="41">
        <v>3</v>
      </c>
      <c r="T64" s="42">
        <f t="shared" ca="1" si="2"/>
        <v>0</v>
      </c>
      <c r="U64" s="42">
        <f t="shared" ca="1" si="3"/>
        <v>36</v>
      </c>
      <c r="V64" s="42">
        <f t="shared" ca="1" si="4"/>
        <v>23</v>
      </c>
      <c r="W64" s="42">
        <f t="shared" ca="1" si="5"/>
        <v>0</v>
      </c>
      <c r="X64" s="63">
        <f t="shared" ref="X64:X71" ca="1" si="22">IF(S64=0,T64,IF(S64=1,U64,IF(S64=3,V64,IF(S64=4,W64))))</f>
        <v>23</v>
      </c>
    </row>
    <row r="65" spans="1:24" s="66" customFormat="1" x14ac:dyDescent="0.2">
      <c r="A65" s="138"/>
      <c r="B65" s="77" t="str">
        <f t="shared" ca="1" si="0"/>
        <v>rack1</v>
      </c>
      <c r="C65" s="25"/>
      <c r="D65" s="26" t="s">
        <v>245</v>
      </c>
      <c r="E65" s="27"/>
      <c r="F65" s="27"/>
      <c r="G65" s="55" t="str">
        <f t="shared" ca="1" si="1"/>
        <v>wagoRack</v>
      </c>
      <c r="H65" s="55" t="str">
        <f t="shared" ca="1" si="1"/>
        <v>node</v>
      </c>
      <c r="I65" s="24">
        <f ca="1">OFFSET(I65,-1,0)</f>
        <v>14</v>
      </c>
      <c r="J65" s="28">
        <v>2</v>
      </c>
      <c r="K65" s="28">
        <v>5</v>
      </c>
      <c r="L65" s="28">
        <v>6</v>
      </c>
      <c r="M65" s="28">
        <v>0</v>
      </c>
      <c r="N65" s="28">
        <v>32767</v>
      </c>
      <c r="O65" s="28">
        <v>0</v>
      </c>
      <c r="P65" s="28">
        <v>10</v>
      </c>
      <c r="Q65" s="29" t="s">
        <v>248</v>
      </c>
      <c r="R65" s="29" t="s">
        <v>247</v>
      </c>
      <c r="S65" s="30">
        <v>3</v>
      </c>
      <c r="T65" s="31">
        <f t="shared" ca="1" si="2"/>
        <v>0</v>
      </c>
      <c r="U65" s="31">
        <f t="shared" ca="1" si="3"/>
        <v>36</v>
      </c>
      <c r="V65" s="31">
        <f t="shared" ca="1" si="4"/>
        <v>24</v>
      </c>
      <c r="W65" s="31">
        <f t="shared" ca="1" si="5"/>
        <v>0</v>
      </c>
      <c r="X65" s="64">
        <f t="shared" ca="1" si="22"/>
        <v>24</v>
      </c>
    </row>
    <row r="66" spans="1:24" s="66" customFormat="1" x14ac:dyDescent="0.2">
      <c r="A66" s="138"/>
      <c r="B66" s="77" t="str">
        <f t="shared" ca="1" si="0"/>
        <v>rack1</v>
      </c>
      <c r="C66" s="25"/>
      <c r="D66" s="26" t="s">
        <v>245</v>
      </c>
      <c r="E66" s="27"/>
      <c r="F66" s="27"/>
      <c r="G66" s="55" t="str">
        <f t="shared" ca="1" si="1"/>
        <v>wagoRack</v>
      </c>
      <c r="H66" s="55" t="str">
        <f t="shared" ca="1" si="1"/>
        <v>node</v>
      </c>
      <c r="I66" s="24">
        <f ca="1">OFFSET(I66,-1,0)</f>
        <v>14</v>
      </c>
      <c r="J66" s="28">
        <v>3</v>
      </c>
      <c r="K66" s="28">
        <v>3</v>
      </c>
      <c r="L66" s="28">
        <v>4</v>
      </c>
      <c r="M66" s="28">
        <v>0</v>
      </c>
      <c r="N66" s="28">
        <v>32767</v>
      </c>
      <c r="O66" s="28">
        <v>0</v>
      </c>
      <c r="P66" s="28">
        <v>10</v>
      </c>
      <c r="Q66" s="29" t="s">
        <v>248</v>
      </c>
      <c r="R66" s="29" t="s">
        <v>247</v>
      </c>
      <c r="S66" s="30">
        <v>3</v>
      </c>
      <c r="T66" s="31">
        <f t="shared" ca="1" si="2"/>
        <v>0</v>
      </c>
      <c r="U66" s="31">
        <f t="shared" ca="1" si="3"/>
        <v>36</v>
      </c>
      <c r="V66" s="31">
        <f t="shared" ca="1" si="4"/>
        <v>25</v>
      </c>
      <c r="W66" s="31">
        <f t="shared" ca="1" si="5"/>
        <v>0</v>
      </c>
      <c r="X66" s="64">
        <f t="shared" ca="1" si="22"/>
        <v>25</v>
      </c>
    </row>
    <row r="67" spans="1:24" s="66" customFormat="1" ht="13.5" thickBot="1" x14ac:dyDescent="0.25">
      <c r="A67" s="139"/>
      <c r="B67" s="83" t="str">
        <f t="shared" ca="1" si="0"/>
        <v>rack1</v>
      </c>
      <c r="C67" s="33"/>
      <c r="D67" s="34" t="s">
        <v>245</v>
      </c>
      <c r="E67" s="35"/>
      <c r="F67" s="35"/>
      <c r="G67" s="58" t="str">
        <f t="shared" ca="1" si="1"/>
        <v>wagoRack</v>
      </c>
      <c r="H67" s="58" t="str">
        <f t="shared" ca="1" si="1"/>
        <v>node</v>
      </c>
      <c r="I67" s="32">
        <f ca="1">OFFSET(I67,-1,0)</f>
        <v>14</v>
      </c>
      <c r="J67" s="32">
        <v>4</v>
      </c>
      <c r="K67" s="45">
        <v>7</v>
      </c>
      <c r="L67" s="32">
        <v>8</v>
      </c>
      <c r="M67" s="32">
        <v>0</v>
      </c>
      <c r="N67" s="32">
        <v>32767</v>
      </c>
      <c r="O67" s="32">
        <v>0</v>
      </c>
      <c r="P67" s="32">
        <v>10</v>
      </c>
      <c r="Q67" s="43" t="s">
        <v>248</v>
      </c>
      <c r="R67" s="43" t="s">
        <v>247</v>
      </c>
      <c r="S67" s="36">
        <v>3</v>
      </c>
      <c r="T67" s="37">
        <f t="shared" ca="1" si="2"/>
        <v>0</v>
      </c>
      <c r="U67" s="37">
        <f t="shared" ca="1" si="3"/>
        <v>36</v>
      </c>
      <c r="V67" s="37">
        <f t="shared" ca="1" si="4"/>
        <v>26</v>
      </c>
      <c r="W67" s="37">
        <f t="shared" ca="1" si="5"/>
        <v>0</v>
      </c>
      <c r="X67" s="65">
        <f t="shared" ca="1" si="22"/>
        <v>26</v>
      </c>
    </row>
    <row r="68" spans="1:24" s="66" customFormat="1" ht="12.75" customHeight="1" x14ac:dyDescent="0.2">
      <c r="A68" s="137" t="s">
        <v>450</v>
      </c>
      <c r="B68" s="76" t="str">
        <f t="shared" ca="1" si="0"/>
        <v>rack1</v>
      </c>
      <c r="C68" s="38"/>
      <c r="D68" s="39" t="s">
        <v>245</v>
      </c>
      <c r="E68" s="27"/>
      <c r="F68" s="27"/>
      <c r="G68" s="55" t="str">
        <f t="shared" ca="1" si="1"/>
        <v>wagoRack</v>
      </c>
      <c r="H68" s="55" t="str">
        <f t="shared" ca="1" si="1"/>
        <v>node</v>
      </c>
      <c r="I68" s="24">
        <f ca="1">OFFSET(I68,-1,0)+1</f>
        <v>15</v>
      </c>
      <c r="J68" s="40">
        <v>1</v>
      </c>
      <c r="K68" s="96" t="s">
        <v>447</v>
      </c>
      <c r="L68" s="55">
        <v>3</v>
      </c>
      <c r="M68" s="55">
        <v>100</v>
      </c>
      <c r="N68" s="55">
        <v>12000</v>
      </c>
      <c r="O68" s="55">
        <v>10</v>
      </c>
      <c r="P68" s="55">
        <v>1200</v>
      </c>
      <c r="Q68" s="55" t="s">
        <v>448</v>
      </c>
      <c r="R68" s="44" t="s">
        <v>247</v>
      </c>
      <c r="S68" s="41">
        <v>3</v>
      </c>
      <c r="T68" s="42">
        <f t="shared" ca="1" si="2"/>
        <v>0</v>
      </c>
      <c r="U68" s="42">
        <f t="shared" ca="1" si="3"/>
        <v>36</v>
      </c>
      <c r="V68" s="42">
        <f t="shared" ca="1" si="4"/>
        <v>27</v>
      </c>
      <c r="W68" s="42">
        <f t="shared" ca="1" si="5"/>
        <v>0</v>
      </c>
      <c r="X68" s="63">
        <f t="shared" ref="X68:X69" ca="1" si="23">IF(S68=0,T68,IF(S68=1,U68,IF(S68=3,V68,IF(S68=4,W68))))</f>
        <v>27</v>
      </c>
    </row>
    <row r="69" spans="1:24" s="66" customFormat="1" ht="13.5" thickBot="1" x14ac:dyDescent="0.25">
      <c r="A69" s="146"/>
      <c r="B69" s="78" t="str">
        <f t="shared" ca="1" si="0"/>
        <v>rack1</v>
      </c>
      <c r="C69" s="33"/>
      <c r="D69" s="34" t="s">
        <v>245</v>
      </c>
      <c r="E69" s="35"/>
      <c r="F69" s="35"/>
      <c r="G69" s="58" t="str">
        <f t="shared" ca="1" si="1"/>
        <v>wagoRack</v>
      </c>
      <c r="H69" s="58" t="str">
        <f t="shared" ca="1" si="1"/>
        <v>node</v>
      </c>
      <c r="I69" s="32">
        <f ca="1">OFFSET(I69,-1,0)</f>
        <v>15</v>
      </c>
      <c r="J69" s="32">
        <v>2</v>
      </c>
      <c r="K69" s="97" t="s">
        <v>449</v>
      </c>
      <c r="L69" s="58">
        <v>7</v>
      </c>
      <c r="M69" s="58">
        <v>100</v>
      </c>
      <c r="N69" s="58">
        <v>12000</v>
      </c>
      <c r="O69" s="58">
        <v>10</v>
      </c>
      <c r="P69" s="58">
        <v>1200</v>
      </c>
      <c r="Q69" s="58" t="s">
        <v>448</v>
      </c>
      <c r="R69" s="43" t="s">
        <v>247</v>
      </c>
      <c r="S69" s="36">
        <v>3</v>
      </c>
      <c r="T69" s="37">
        <f t="shared" ca="1" si="2"/>
        <v>0</v>
      </c>
      <c r="U69" s="37">
        <f t="shared" ca="1" si="3"/>
        <v>36</v>
      </c>
      <c r="V69" s="37">
        <f t="shared" ca="1" si="4"/>
        <v>28</v>
      </c>
      <c r="W69" s="37">
        <f t="shared" ca="1" si="5"/>
        <v>0</v>
      </c>
      <c r="X69" s="65">
        <f t="shared" ca="1" si="23"/>
        <v>28</v>
      </c>
    </row>
    <row r="70" spans="1:24" s="66" customFormat="1" ht="12.75" customHeight="1" x14ac:dyDescent="0.2">
      <c r="A70" s="137" t="s">
        <v>451</v>
      </c>
      <c r="B70" s="76" t="str">
        <f t="shared" ca="1" si="0"/>
        <v>rack1</v>
      </c>
      <c r="C70" s="38"/>
      <c r="D70" s="39" t="s">
        <v>245</v>
      </c>
      <c r="E70" s="27"/>
      <c r="F70" s="27"/>
      <c r="G70" s="55" t="str">
        <f t="shared" ca="1" si="1"/>
        <v>wagoRack</v>
      </c>
      <c r="H70" s="55" t="str">
        <f t="shared" ca="1" si="1"/>
        <v>node</v>
      </c>
      <c r="I70" s="24">
        <f ca="1">OFFSET(I70,-1,0)+1</f>
        <v>16</v>
      </c>
      <c r="J70" s="40">
        <v>1</v>
      </c>
      <c r="K70" s="96" t="s">
        <v>447</v>
      </c>
      <c r="L70" s="55">
        <v>3</v>
      </c>
      <c r="M70" s="55">
        <v>20</v>
      </c>
      <c r="N70" s="55">
        <v>10000</v>
      </c>
      <c r="O70" s="55">
        <v>10</v>
      </c>
      <c r="P70" s="55">
        <v>5000</v>
      </c>
      <c r="Q70" s="55" t="s">
        <v>448</v>
      </c>
      <c r="R70" s="44" t="s">
        <v>247</v>
      </c>
      <c r="S70" s="41">
        <v>3</v>
      </c>
      <c r="T70" s="42">
        <f t="shared" ca="1" si="2"/>
        <v>0</v>
      </c>
      <c r="U70" s="42">
        <f t="shared" ca="1" si="3"/>
        <v>36</v>
      </c>
      <c r="V70" s="42">
        <f t="shared" ca="1" si="4"/>
        <v>29</v>
      </c>
      <c r="W70" s="42">
        <f t="shared" ca="1" si="5"/>
        <v>0</v>
      </c>
      <c r="X70" s="63">
        <f t="shared" ca="1" si="22"/>
        <v>29</v>
      </c>
    </row>
    <row r="71" spans="1:24" s="66" customFormat="1" ht="13.5" thickBot="1" x14ac:dyDescent="0.25">
      <c r="A71" s="146"/>
      <c r="B71" s="78" t="str">
        <f t="shared" ca="1" si="0"/>
        <v>rack1</v>
      </c>
      <c r="C71" s="33"/>
      <c r="D71" s="34" t="s">
        <v>245</v>
      </c>
      <c r="E71" s="35"/>
      <c r="F71" s="35"/>
      <c r="G71" s="58" t="str">
        <f t="shared" ca="1" si="1"/>
        <v>wagoRack</v>
      </c>
      <c r="H71" s="58" t="str">
        <f t="shared" ca="1" si="1"/>
        <v>node</v>
      </c>
      <c r="I71" s="32">
        <f ca="1">OFFSET(I71,-1,0)</f>
        <v>16</v>
      </c>
      <c r="J71" s="32">
        <v>2</v>
      </c>
      <c r="K71" s="97" t="s">
        <v>449</v>
      </c>
      <c r="L71" s="58">
        <v>7</v>
      </c>
      <c r="M71" s="58">
        <v>20</v>
      </c>
      <c r="N71" s="58">
        <v>10000</v>
      </c>
      <c r="O71" s="58">
        <v>10</v>
      </c>
      <c r="P71" s="58">
        <v>5000</v>
      </c>
      <c r="Q71" s="58" t="s">
        <v>448</v>
      </c>
      <c r="R71" s="43" t="s">
        <v>247</v>
      </c>
      <c r="S71" s="36">
        <v>3</v>
      </c>
      <c r="T71" s="37">
        <f t="shared" ca="1" si="2"/>
        <v>0</v>
      </c>
      <c r="U71" s="37">
        <f t="shared" ca="1" si="3"/>
        <v>36</v>
      </c>
      <c r="V71" s="37">
        <f t="shared" ca="1" si="4"/>
        <v>30</v>
      </c>
      <c r="W71" s="37">
        <f t="shared" ca="1" si="5"/>
        <v>0</v>
      </c>
      <c r="X71" s="65">
        <f t="shared" ca="1" si="22"/>
        <v>30</v>
      </c>
    </row>
    <row r="72" spans="1:24" x14ac:dyDescent="0.2">
      <c r="A72" s="137" t="s">
        <v>467</v>
      </c>
      <c r="B72" s="77" t="str">
        <f t="shared" ca="1" si="0"/>
        <v>rack1</v>
      </c>
      <c r="C72" s="38"/>
      <c r="D72" s="48" t="s">
        <v>249</v>
      </c>
      <c r="E72" s="27"/>
      <c r="F72" s="27"/>
      <c r="G72" s="55" t="str">
        <f t="shared" ca="1" si="1"/>
        <v>wagoRack</v>
      </c>
      <c r="H72" s="55" t="str">
        <f t="shared" ca="1" si="1"/>
        <v>node</v>
      </c>
      <c r="I72" s="24">
        <f t="shared" ca="1" si="9"/>
        <v>17</v>
      </c>
      <c r="J72" s="40">
        <v>1</v>
      </c>
      <c r="K72" s="40">
        <v>1</v>
      </c>
      <c r="L72" s="40">
        <v>2</v>
      </c>
      <c r="M72" s="28">
        <v>0</v>
      </c>
      <c r="N72" s="28">
        <v>1</v>
      </c>
      <c r="O72" s="28">
        <v>0</v>
      </c>
      <c r="P72" s="28">
        <v>1</v>
      </c>
      <c r="Q72" s="40"/>
      <c r="R72" s="44" t="s">
        <v>3</v>
      </c>
      <c r="S72" s="41">
        <v>0</v>
      </c>
      <c r="T72" s="42">
        <f t="shared" ca="1" si="2"/>
        <v>1</v>
      </c>
      <c r="U72" s="42">
        <f t="shared" ca="1" si="3"/>
        <v>36</v>
      </c>
      <c r="V72" s="42">
        <f t="shared" ca="1" si="4"/>
        <v>30</v>
      </c>
      <c r="W72" s="42">
        <f t="shared" ca="1" si="5"/>
        <v>0</v>
      </c>
      <c r="X72" s="63">
        <f t="shared" ca="1" si="6"/>
        <v>1</v>
      </c>
    </row>
    <row r="73" spans="1:24" ht="13.5" thickBot="1" x14ac:dyDescent="0.25">
      <c r="A73" s="139"/>
      <c r="B73" s="78" t="str">
        <f t="shared" ca="1" si="0"/>
        <v>rack1</v>
      </c>
      <c r="C73" s="33"/>
      <c r="D73" s="49" t="s">
        <v>249</v>
      </c>
      <c r="E73" s="35"/>
      <c r="F73" s="35"/>
      <c r="G73" s="58" t="str">
        <f t="shared" ca="1" si="1"/>
        <v>wagoRack</v>
      </c>
      <c r="H73" s="58" t="str">
        <f t="shared" ca="1" si="1"/>
        <v>node</v>
      </c>
      <c r="I73" s="32">
        <f ca="1">OFFSET(I73,-1,0)</f>
        <v>17</v>
      </c>
      <c r="J73" s="32">
        <v>2</v>
      </c>
      <c r="K73" s="45">
        <v>5</v>
      </c>
      <c r="L73" s="32">
        <v>6</v>
      </c>
      <c r="M73" s="32">
        <v>0</v>
      </c>
      <c r="N73" s="32">
        <v>1</v>
      </c>
      <c r="O73" s="32">
        <v>0</v>
      </c>
      <c r="P73" s="32">
        <v>1</v>
      </c>
      <c r="Q73" s="32"/>
      <c r="R73" s="32" t="s">
        <v>3</v>
      </c>
      <c r="S73" s="36">
        <v>0</v>
      </c>
      <c r="T73" s="37">
        <f t="shared" ca="1" si="2"/>
        <v>2</v>
      </c>
      <c r="U73" s="37">
        <f t="shared" ca="1" si="3"/>
        <v>36</v>
      </c>
      <c r="V73" s="37">
        <f t="shared" ca="1" si="4"/>
        <v>30</v>
      </c>
      <c r="W73" s="37">
        <f t="shared" ca="1" si="5"/>
        <v>0</v>
      </c>
      <c r="X73" s="65">
        <f t="shared" ca="1" si="6"/>
        <v>2</v>
      </c>
    </row>
    <row r="74" spans="1:24" x14ac:dyDescent="0.2">
      <c r="A74" s="137" t="s">
        <v>466</v>
      </c>
      <c r="B74" s="77" t="str">
        <f t="shared" ca="1" si="0"/>
        <v>rack1</v>
      </c>
      <c r="C74" s="38"/>
      <c r="D74" s="48" t="s">
        <v>249</v>
      </c>
      <c r="E74" s="27"/>
      <c r="F74" s="27"/>
      <c r="G74" s="55" t="str">
        <f t="shared" ca="1" si="1"/>
        <v>wagoRack</v>
      </c>
      <c r="H74" s="55" t="str">
        <f t="shared" ca="1" si="1"/>
        <v>node</v>
      </c>
      <c r="I74" s="24">
        <f t="shared" ca="1" si="9"/>
        <v>18</v>
      </c>
      <c r="J74" s="40">
        <v>1</v>
      </c>
      <c r="K74" s="40">
        <v>1</v>
      </c>
      <c r="L74" s="40">
        <v>2</v>
      </c>
      <c r="M74" s="28">
        <v>0</v>
      </c>
      <c r="N74" s="28">
        <v>1</v>
      </c>
      <c r="O74" s="28">
        <v>0</v>
      </c>
      <c r="P74" s="28">
        <v>1</v>
      </c>
      <c r="Q74" s="40"/>
      <c r="R74" s="44" t="s">
        <v>3</v>
      </c>
      <c r="S74" s="41">
        <v>0</v>
      </c>
      <c r="T74" s="42">
        <f t="shared" ca="1" si="2"/>
        <v>3</v>
      </c>
      <c r="U74" s="42">
        <f t="shared" ca="1" si="3"/>
        <v>36</v>
      </c>
      <c r="V74" s="42">
        <f t="shared" ca="1" si="4"/>
        <v>30</v>
      </c>
      <c r="W74" s="42">
        <f t="shared" ca="1" si="5"/>
        <v>0</v>
      </c>
      <c r="X74" s="63">
        <f t="shared" ref="X74:X79" ca="1" si="24">IF(S74=0,T74,IF(S74=1,U74,IF(S74=3,V74,IF(S74=4,W74))))</f>
        <v>3</v>
      </c>
    </row>
    <row r="75" spans="1:24" ht="13.5" thickBot="1" x14ac:dyDescent="0.25">
      <c r="A75" s="139"/>
      <c r="B75" s="78" t="str">
        <f t="shared" ca="1" si="0"/>
        <v>rack1</v>
      </c>
      <c r="C75" s="33"/>
      <c r="D75" s="49" t="s">
        <v>249</v>
      </c>
      <c r="E75" s="35"/>
      <c r="F75" s="35"/>
      <c r="G75" s="58" t="str">
        <f t="shared" ca="1" si="1"/>
        <v>wagoRack</v>
      </c>
      <c r="H75" s="58" t="str">
        <f t="shared" ca="1" si="1"/>
        <v>node</v>
      </c>
      <c r="I75" s="32">
        <f ca="1">OFFSET(I75,-1,0)</f>
        <v>18</v>
      </c>
      <c r="J75" s="32">
        <v>2</v>
      </c>
      <c r="K75" s="45">
        <v>5</v>
      </c>
      <c r="L75" s="32">
        <v>6</v>
      </c>
      <c r="M75" s="32">
        <v>0</v>
      </c>
      <c r="N75" s="32">
        <v>1</v>
      </c>
      <c r="O75" s="32">
        <v>0</v>
      </c>
      <c r="P75" s="32">
        <v>1</v>
      </c>
      <c r="Q75" s="32"/>
      <c r="R75" s="32" t="s">
        <v>3</v>
      </c>
      <c r="S75" s="36">
        <v>0</v>
      </c>
      <c r="T75" s="37">
        <f t="shared" ca="1" si="2"/>
        <v>4</v>
      </c>
      <c r="U75" s="37">
        <f t="shared" ca="1" si="3"/>
        <v>36</v>
      </c>
      <c r="V75" s="37">
        <f t="shared" ca="1" si="4"/>
        <v>30</v>
      </c>
      <c r="W75" s="37">
        <f t="shared" ca="1" si="5"/>
        <v>0</v>
      </c>
      <c r="X75" s="65">
        <f t="shared" ca="1" si="24"/>
        <v>4</v>
      </c>
    </row>
    <row r="76" spans="1:24" s="66" customFormat="1" x14ac:dyDescent="0.2">
      <c r="A76" s="137" t="s">
        <v>315</v>
      </c>
      <c r="B76" s="77" t="str">
        <f t="shared" ca="1" si="0"/>
        <v>rack1</v>
      </c>
      <c r="C76" s="38"/>
      <c r="D76" s="48" t="s">
        <v>249</v>
      </c>
      <c r="E76" s="27"/>
      <c r="F76" s="27"/>
      <c r="G76" s="55" t="str">
        <f t="shared" ca="1" si="1"/>
        <v>wagoRack</v>
      </c>
      <c r="H76" s="55" t="str">
        <f t="shared" ca="1" si="1"/>
        <v>node</v>
      </c>
      <c r="I76" s="24">
        <f t="shared" ca="1" si="9"/>
        <v>19</v>
      </c>
      <c r="J76" s="40">
        <v>1</v>
      </c>
      <c r="K76" s="40">
        <v>1</v>
      </c>
      <c r="L76" s="40">
        <v>2</v>
      </c>
      <c r="M76" s="40">
        <v>0</v>
      </c>
      <c r="N76" s="40">
        <v>1</v>
      </c>
      <c r="O76" s="40">
        <v>0</v>
      </c>
      <c r="P76" s="40">
        <v>1</v>
      </c>
      <c r="Q76" s="40"/>
      <c r="R76" s="40" t="s">
        <v>3</v>
      </c>
      <c r="S76" s="41">
        <v>0</v>
      </c>
      <c r="T76" s="42">
        <f t="shared" ca="1" si="2"/>
        <v>5</v>
      </c>
      <c r="U76" s="42">
        <f t="shared" ca="1" si="3"/>
        <v>36</v>
      </c>
      <c r="V76" s="42">
        <f t="shared" ca="1" si="4"/>
        <v>30</v>
      </c>
      <c r="W76" s="42">
        <f t="shared" ca="1" si="5"/>
        <v>0</v>
      </c>
      <c r="X76" s="63">
        <f t="shared" ca="1" si="24"/>
        <v>5</v>
      </c>
    </row>
    <row r="77" spans="1:24" s="66" customFormat="1" x14ac:dyDescent="0.2">
      <c r="A77" s="138"/>
      <c r="B77" s="77" t="str">
        <f t="shared" ca="1" si="0"/>
        <v>rack1</v>
      </c>
      <c r="C77" s="25"/>
      <c r="D77" s="50" t="s">
        <v>249</v>
      </c>
      <c r="E77" s="27"/>
      <c r="F77" s="27"/>
      <c r="G77" s="55" t="str">
        <f t="shared" ca="1" si="1"/>
        <v>wagoRack</v>
      </c>
      <c r="H77" s="55" t="str">
        <f t="shared" ca="1" si="1"/>
        <v>node</v>
      </c>
      <c r="I77" s="24">
        <f ca="1">OFFSET(I77,-1,0)</f>
        <v>19</v>
      </c>
      <c r="J77" s="28">
        <v>2</v>
      </c>
      <c r="K77" s="28">
        <v>5</v>
      </c>
      <c r="L77" s="28">
        <v>6</v>
      </c>
      <c r="M77" s="28">
        <v>0</v>
      </c>
      <c r="N77" s="28">
        <v>1</v>
      </c>
      <c r="O77" s="28">
        <v>0</v>
      </c>
      <c r="P77" s="28">
        <v>1</v>
      </c>
      <c r="Q77" s="28"/>
      <c r="R77" s="28" t="s">
        <v>3</v>
      </c>
      <c r="S77" s="30">
        <v>0</v>
      </c>
      <c r="T77" s="31">
        <f t="shared" ca="1" si="2"/>
        <v>6</v>
      </c>
      <c r="U77" s="31">
        <f t="shared" ca="1" si="3"/>
        <v>36</v>
      </c>
      <c r="V77" s="31">
        <f t="shared" ca="1" si="4"/>
        <v>30</v>
      </c>
      <c r="W77" s="31">
        <f t="shared" ca="1" si="5"/>
        <v>0</v>
      </c>
      <c r="X77" s="64">
        <f t="shared" ca="1" si="24"/>
        <v>6</v>
      </c>
    </row>
    <row r="78" spans="1:24" s="66" customFormat="1" x14ac:dyDescent="0.2">
      <c r="A78" s="138"/>
      <c r="B78" s="77" t="str">
        <f t="shared" ca="1" si="0"/>
        <v>rack1</v>
      </c>
      <c r="C78" s="25"/>
      <c r="D78" s="50" t="s">
        <v>249</v>
      </c>
      <c r="E78" s="27"/>
      <c r="F78" s="27"/>
      <c r="G78" s="55" t="str">
        <f t="shared" ca="1" si="1"/>
        <v>wagoRack</v>
      </c>
      <c r="H78" s="55" t="str">
        <f t="shared" ca="1" si="1"/>
        <v>node</v>
      </c>
      <c r="I78" s="24">
        <f t="shared" ref="I78:I79" ca="1" si="25">OFFSET(I78,-1,0)</f>
        <v>19</v>
      </c>
      <c r="J78" s="28">
        <v>3</v>
      </c>
      <c r="K78" s="28">
        <v>4</v>
      </c>
      <c r="L78" s="28">
        <v>3</v>
      </c>
      <c r="M78" s="28">
        <v>0</v>
      </c>
      <c r="N78" s="28">
        <v>1</v>
      </c>
      <c r="O78" s="28">
        <v>0</v>
      </c>
      <c r="P78" s="28">
        <v>1</v>
      </c>
      <c r="Q78" s="28"/>
      <c r="R78" s="28" t="s">
        <v>3</v>
      </c>
      <c r="S78" s="30">
        <v>0</v>
      </c>
      <c r="T78" s="31">
        <f t="shared" ca="1" si="2"/>
        <v>7</v>
      </c>
      <c r="U78" s="31">
        <f t="shared" ca="1" si="3"/>
        <v>36</v>
      </c>
      <c r="V78" s="31">
        <f t="shared" ca="1" si="4"/>
        <v>30</v>
      </c>
      <c r="W78" s="31">
        <f t="shared" ca="1" si="5"/>
        <v>0</v>
      </c>
      <c r="X78" s="64">
        <f t="shared" ca="1" si="24"/>
        <v>7</v>
      </c>
    </row>
    <row r="79" spans="1:24" s="66" customFormat="1" ht="13.5" thickBot="1" x14ac:dyDescent="0.25">
      <c r="A79" s="138"/>
      <c r="B79" s="83" t="str">
        <f t="shared" ca="1" si="0"/>
        <v>rack1</v>
      </c>
      <c r="C79" s="33"/>
      <c r="D79" s="49" t="s">
        <v>249</v>
      </c>
      <c r="E79" s="57"/>
      <c r="F79" s="57"/>
      <c r="G79" s="58" t="str">
        <f t="shared" ca="1" si="1"/>
        <v>wagoRack</v>
      </c>
      <c r="H79" s="58" t="str">
        <f t="shared" ca="1" si="1"/>
        <v>node</v>
      </c>
      <c r="I79" s="56">
        <f t="shared" ca="1" si="25"/>
        <v>19</v>
      </c>
      <c r="J79" s="32">
        <v>4</v>
      </c>
      <c r="K79" s="32">
        <v>8</v>
      </c>
      <c r="L79" s="32">
        <v>7</v>
      </c>
      <c r="M79" s="32">
        <v>0</v>
      </c>
      <c r="N79" s="32">
        <v>1</v>
      </c>
      <c r="O79" s="32">
        <v>0</v>
      </c>
      <c r="P79" s="32">
        <v>1</v>
      </c>
      <c r="Q79" s="32"/>
      <c r="R79" s="32" t="s">
        <v>3</v>
      </c>
      <c r="S79" s="36">
        <v>0</v>
      </c>
      <c r="T79" s="37">
        <f t="shared" ca="1" si="2"/>
        <v>8</v>
      </c>
      <c r="U79" s="37">
        <f t="shared" ca="1" si="3"/>
        <v>36</v>
      </c>
      <c r="V79" s="37">
        <f t="shared" ca="1" si="4"/>
        <v>30</v>
      </c>
      <c r="W79" s="37">
        <f t="shared" ca="1" si="5"/>
        <v>0</v>
      </c>
      <c r="X79" s="65">
        <f t="shared" ca="1" si="24"/>
        <v>8</v>
      </c>
    </row>
    <row r="80" spans="1:24" x14ac:dyDescent="0.2">
      <c r="A80" s="137" t="s">
        <v>293</v>
      </c>
      <c r="B80" s="77" t="str">
        <f t="shared" ca="1" si="0"/>
        <v>rack1</v>
      </c>
      <c r="C80" s="38"/>
      <c r="D80" s="48" t="s">
        <v>249</v>
      </c>
      <c r="E80" s="27"/>
      <c r="F80" s="27"/>
      <c r="G80" s="55" t="str">
        <f t="shared" ca="1" si="1"/>
        <v>wagoRack</v>
      </c>
      <c r="H80" s="55" t="str">
        <f t="shared" ca="1" si="1"/>
        <v>node</v>
      </c>
      <c r="I80" s="24">
        <f t="shared" ca="1" si="9"/>
        <v>20</v>
      </c>
      <c r="J80" s="40">
        <v>1</v>
      </c>
      <c r="K80" s="40">
        <v>1</v>
      </c>
      <c r="L80" s="40" t="s">
        <v>244</v>
      </c>
      <c r="M80" s="40">
        <v>0</v>
      </c>
      <c r="N80" s="40">
        <v>1</v>
      </c>
      <c r="O80" s="40">
        <v>0</v>
      </c>
      <c r="P80" s="40">
        <v>1</v>
      </c>
      <c r="Q80" s="40"/>
      <c r="R80" s="40" t="s">
        <v>3</v>
      </c>
      <c r="S80" s="41">
        <v>0</v>
      </c>
      <c r="T80" s="42">
        <f t="shared" ca="1" si="2"/>
        <v>9</v>
      </c>
      <c r="U80" s="42">
        <f t="shared" ca="1" si="3"/>
        <v>36</v>
      </c>
      <c r="V80" s="42">
        <f t="shared" ca="1" si="4"/>
        <v>30</v>
      </c>
      <c r="W80" s="42">
        <f t="shared" ca="1" si="5"/>
        <v>0</v>
      </c>
      <c r="X80" s="63">
        <f t="shared" ca="1" si="6"/>
        <v>9</v>
      </c>
    </row>
    <row r="81" spans="1:24" x14ac:dyDescent="0.2">
      <c r="A81" s="138"/>
      <c r="B81" s="77" t="str">
        <f t="shared" ca="1" si="0"/>
        <v>rack1</v>
      </c>
      <c r="C81" s="25"/>
      <c r="D81" s="50" t="s">
        <v>249</v>
      </c>
      <c r="E81" s="27"/>
      <c r="F81" s="27"/>
      <c r="G81" s="55" t="str">
        <f t="shared" ca="1" si="1"/>
        <v>wagoRack</v>
      </c>
      <c r="H81" s="55" t="str">
        <f t="shared" ca="1" si="1"/>
        <v>node</v>
      </c>
      <c r="I81" s="24">
        <f ca="1">OFFSET(I81,-1,0)</f>
        <v>20</v>
      </c>
      <c r="J81" s="28">
        <v>2</v>
      </c>
      <c r="K81" s="28">
        <v>5</v>
      </c>
      <c r="L81" s="28" t="s">
        <v>244</v>
      </c>
      <c r="M81" s="28">
        <v>0</v>
      </c>
      <c r="N81" s="28">
        <v>1</v>
      </c>
      <c r="O81" s="28">
        <v>0</v>
      </c>
      <c r="P81" s="28">
        <v>1</v>
      </c>
      <c r="Q81" s="28"/>
      <c r="R81" s="28" t="s">
        <v>3</v>
      </c>
      <c r="S81" s="30">
        <v>0</v>
      </c>
      <c r="T81" s="31">
        <f t="shared" ca="1" si="2"/>
        <v>10</v>
      </c>
      <c r="U81" s="31">
        <f t="shared" ca="1" si="3"/>
        <v>36</v>
      </c>
      <c r="V81" s="31">
        <f t="shared" ca="1" si="4"/>
        <v>30</v>
      </c>
      <c r="W81" s="31">
        <f t="shared" ca="1" si="5"/>
        <v>0</v>
      </c>
      <c r="X81" s="64">
        <f t="shared" ca="1" si="6"/>
        <v>10</v>
      </c>
    </row>
    <row r="82" spans="1:24" x14ac:dyDescent="0.2">
      <c r="A82" s="138"/>
      <c r="B82" s="77" t="str">
        <f t="shared" ca="1" si="0"/>
        <v>rack1</v>
      </c>
      <c r="C82" s="25"/>
      <c r="D82" s="50" t="s">
        <v>249</v>
      </c>
      <c r="E82" s="27"/>
      <c r="F82" s="27"/>
      <c r="G82" s="55" t="str">
        <f t="shared" ca="1" si="1"/>
        <v>wagoRack</v>
      </c>
      <c r="H82" s="55" t="str">
        <f t="shared" ca="1" si="1"/>
        <v>node</v>
      </c>
      <c r="I82" s="24">
        <f t="shared" ref="I82:I86" ca="1" si="26">OFFSET(I82,-1,0)</f>
        <v>20</v>
      </c>
      <c r="J82" s="28">
        <v>3</v>
      </c>
      <c r="K82" s="28">
        <v>2</v>
      </c>
      <c r="L82" s="28" t="s">
        <v>244</v>
      </c>
      <c r="M82" s="28">
        <v>0</v>
      </c>
      <c r="N82" s="28">
        <v>1</v>
      </c>
      <c r="O82" s="28">
        <v>0</v>
      </c>
      <c r="P82" s="28">
        <v>1</v>
      </c>
      <c r="Q82" s="28"/>
      <c r="R82" s="28" t="s">
        <v>3</v>
      </c>
      <c r="S82" s="30">
        <v>0</v>
      </c>
      <c r="T82" s="31">
        <f t="shared" ca="1" si="2"/>
        <v>11</v>
      </c>
      <c r="U82" s="31">
        <f t="shared" ca="1" si="3"/>
        <v>36</v>
      </c>
      <c r="V82" s="31">
        <f t="shared" ca="1" si="4"/>
        <v>30</v>
      </c>
      <c r="W82" s="31">
        <f t="shared" ca="1" si="5"/>
        <v>0</v>
      </c>
      <c r="X82" s="64">
        <f t="shared" ca="1" si="6"/>
        <v>11</v>
      </c>
    </row>
    <row r="83" spans="1:24" x14ac:dyDescent="0.2">
      <c r="A83" s="138"/>
      <c r="B83" s="77" t="str">
        <f t="shared" ca="1" si="0"/>
        <v>rack1</v>
      </c>
      <c r="C83" s="25"/>
      <c r="D83" s="50" t="s">
        <v>249</v>
      </c>
      <c r="E83" s="27"/>
      <c r="F83" s="27"/>
      <c r="G83" s="55" t="str">
        <f t="shared" ca="1" si="1"/>
        <v>wagoRack</v>
      </c>
      <c r="H83" s="55" t="str">
        <f t="shared" ca="1" si="1"/>
        <v>node</v>
      </c>
      <c r="I83" s="24">
        <f t="shared" ca="1" si="26"/>
        <v>20</v>
      </c>
      <c r="J83" s="28">
        <v>4</v>
      </c>
      <c r="K83" s="28">
        <v>6</v>
      </c>
      <c r="L83" s="28" t="s">
        <v>244</v>
      </c>
      <c r="M83" s="28">
        <v>0</v>
      </c>
      <c r="N83" s="28">
        <v>1</v>
      </c>
      <c r="O83" s="28">
        <v>0</v>
      </c>
      <c r="P83" s="28">
        <v>1</v>
      </c>
      <c r="Q83" s="28"/>
      <c r="R83" s="28" t="s">
        <v>3</v>
      </c>
      <c r="S83" s="30">
        <v>0</v>
      </c>
      <c r="T83" s="31">
        <f t="shared" ca="1" si="2"/>
        <v>12</v>
      </c>
      <c r="U83" s="31">
        <f t="shared" ca="1" si="3"/>
        <v>36</v>
      </c>
      <c r="V83" s="31">
        <f t="shared" ca="1" si="4"/>
        <v>30</v>
      </c>
      <c r="W83" s="31">
        <f t="shared" ca="1" si="5"/>
        <v>0</v>
      </c>
      <c r="X83" s="64">
        <f t="shared" ca="1" si="6"/>
        <v>12</v>
      </c>
    </row>
    <row r="84" spans="1:24" x14ac:dyDescent="0.2">
      <c r="A84" s="138"/>
      <c r="B84" s="77" t="str">
        <f t="shared" ca="1" si="0"/>
        <v>rack1</v>
      </c>
      <c r="C84" s="25"/>
      <c r="D84" s="50" t="s">
        <v>249</v>
      </c>
      <c r="E84" s="27"/>
      <c r="F84" s="27"/>
      <c r="G84" s="55" t="str">
        <f t="shared" ca="1" si="1"/>
        <v>wagoRack</v>
      </c>
      <c r="H84" s="55" t="str">
        <f t="shared" ca="1" si="1"/>
        <v>node</v>
      </c>
      <c r="I84" s="24">
        <f t="shared" ca="1" si="26"/>
        <v>20</v>
      </c>
      <c r="J84" s="28">
        <v>5</v>
      </c>
      <c r="K84" s="28">
        <v>3</v>
      </c>
      <c r="L84" s="28" t="s">
        <v>244</v>
      </c>
      <c r="M84" s="28">
        <v>0</v>
      </c>
      <c r="N84" s="28">
        <v>1</v>
      </c>
      <c r="O84" s="28">
        <v>0</v>
      </c>
      <c r="P84" s="28">
        <v>1</v>
      </c>
      <c r="Q84" s="28"/>
      <c r="R84" s="28" t="s">
        <v>3</v>
      </c>
      <c r="S84" s="30">
        <v>0</v>
      </c>
      <c r="T84" s="31">
        <f t="shared" ca="1" si="2"/>
        <v>13</v>
      </c>
      <c r="U84" s="31">
        <f t="shared" ca="1" si="3"/>
        <v>36</v>
      </c>
      <c r="V84" s="31">
        <f t="shared" ca="1" si="4"/>
        <v>30</v>
      </c>
      <c r="W84" s="31">
        <f t="shared" ca="1" si="5"/>
        <v>0</v>
      </c>
      <c r="X84" s="64">
        <f t="shared" ca="1" si="6"/>
        <v>13</v>
      </c>
    </row>
    <row r="85" spans="1:24" x14ac:dyDescent="0.2">
      <c r="A85" s="138"/>
      <c r="B85" s="77" t="str">
        <f t="shared" ca="1" si="0"/>
        <v>rack1</v>
      </c>
      <c r="C85" s="25"/>
      <c r="D85" s="50" t="s">
        <v>249</v>
      </c>
      <c r="E85" s="27"/>
      <c r="F85" s="27"/>
      <c r="G85" s="55" t="str">
        <f t="shared" ca="1" si="1"/>
        <v>wagoRack</v>
      </c>
      <c r="H85" s="55" t="str">
        <f t="shared" ca="1" si="1"/>
        <v>node</v>
      </c>
      <c r="I85" s="24">
        <f t="shared" ca="1" si="26"/>
        <v>20</v>
      </c>
      <c r="J85" s="28">
        <v>6</v>
      </c>
      <c r="K85" s="28">
        <v>7</v>
      </c>
      <c r="L85" s="28" t="s">
        <v>244</v>
      </c>
      <c r="M85" s="28">
        <v>0</v>
      </c>
      <c r="N85" s="28">
        <v>1</v>
      </c>
      <c r="O85" s="28">
        <v>0</v>
      </c>
      <c r="P85" s="28">
        <v>1</v>
      </c>
      <c r="Q85" s="28"/>
      <c r="R85" s="28" t="s">
        <v>3</v>
      </c>
      <c r="S85" s="30">
        <v>0</v>
      </c>
      <c r="T85" s="31">
        <f t="shared" ca="1" si="2"/>
        <v>14</v>
      </c>
      <c r="U85" s="31">
        <f t="shared" ca="1" si="3"/>
        <v>36</v>
      </c>
      <c r="V85" s="31">
        <f t="shared" ca="1" si="4"/>
        <v>30</v>
      </c>
      <c r="W85" s="31">
        <f t="shared" ca="1" si="5"/>
        <v>0</v>
      </c>
      <c r="X85" s="64">
        <f t="shared" ca="1" si="6"/>
        <v>14</v>
      </c>
    </row>
    <row r="86" spans="1:24" x14ac:dyDescent="0.2">
      <c r="A86" s="138"/>
      <c r="B86" s="77" t="str">
        <f t="shared" ca="1" si="0"/>
        <v>rack1</v>
      </c>
      <c r="C86" s="25"/>
      <c r="D86" s="50" t="s">
        <v>249</v>
      </c>
      <c r="E86" s="27"/>
      <c r="F86" s="27"/>
      <c r="G86" s="55" t="str">
        <f t="shared" ca="1" si="1"/>
        <v>wagoRack</v>
      </c>
      <c r="H86" s="55" t="str">
        <f t="shared" ca="1" si="1"/>
        <v>node</v>
      </c>
      <c r="I86" s="24">
        <f t="shared" ca="1" si="26"/>
        <v>20</v>
      </c>
      <c r="J86" s="28">
        <v>7</v>
      </c>
      <c r="K86" s="28">
        <v>4</v>
      </c>
      <c r="L86" s="28" t="s">
        <v>244</v>
      </c>
      <c r="M86" s="28">
        <v>0</v>
      </c>
      <c r="N86" s="28">
        <v>1</v>
      </c>
      <c r="O86" s="28">
        <v>0</v>
      </c>
      <c r="P86" s="28">
        <v>1</v>
      </c>
      <c r="Q86" s="28"/>
      <c r="R86" s="28" t="s">
        <v>3</v>
      </c>
      <c r="S86" s="30">
        <v>0</v>
      </c>
      <c r="T86" s="31">
        <f t="shared" ca="1" si="2"/>
        <v>15</v>
      </c>
      <c r="U86" s="31">
        <f t="shared" ca="1" si="3"/>
        <v>36</v>
      </c>
      <c r="V86" s="31">
        <f t="shared" ca="1" si="4"/>
        <v>30</v>
      </c>
      <c r="W86" s="31">
        <f t="shared" ca="1" si="5"/>
        <v>0</v>
      </c>
      <c r="X86" s="64">
        <f t="shared" ca="1" si="6"/>
        <v>15</v>
      </c>
    </row>
    <row r="87" spans="1:24" ht="13.5" thickBot="1" x14ac:dyDescent="0.25">
      <c r="A87" s="139"/>
      <c r="B87" s="82" t="str">
        <f t="shared" ca="1" si="0"/>
        <v>rack1</v>
      </c>
      <c r="C87" s="33"/>
      <c r="D87" s="49" t="s">
        <v>249</v>
      </c>
      <c r="E87" s="35"/>
      <c r="F87" s="35"/>
      <c r="G87" s="58" t="str">
        <f t="shared" ca="1" si="1"/>
        <v>wagoRack</v>
      </c>
      <c r="H87" s="58" t="str">
        <f t="shared" ca="1" si="1"/>
        <v>node</v>
      </c>
      <c r="I87" s="32">
        <f ca="1">OFFSET(I87,-1,0)</f>
        <v>20</v>
      </c>
      <c r="J87" s="32">
        <v>8</v>
      </c>
      <c r="K87" s="32">
        <v>8</v>
      </c>
      <c r="L87" s="32" t="s">
        <v>244</v>
      </c>
      <c r="M87" s="32">
        <v>0</v>
      </c>
      <c r="N87" s="32">
        <v>1</v>
      </c>
      <c r="O87" s="32">
        <v>0</v>
      </c>
      <c r="P87" s="32">
        <v>1</v>
      </c>
      <c r="Q87" s="32"/>
      <c r="R87" s="32" t="s">
        <v>3</v>
      </c>
      <c r="S87" s="36">
        <v>0</v>
      </c>
      <c r="T87" s="37">
        <f t="shared" ca="1" si="2"/>
        <v>16</v>
      </c>
      <c r="U87" s="37">
        <f t="shared" ca="1" si="3"/>
        <v>36</v>
      </c>
      <c r="V87" s="37">
        <f t="shared" ca="1" si="4"/>
        <v>30</v>
      </c>
      <c r="W87" s="37">
        <f t="shared" ca="1" si="5"/>
        <v>0</v>
      </c>
      <c r="X87" s="65">
        <f t="shared" ca="1" si="6"/>
        <v>16</v>
      </c>
    </row>
    <row r="88" spans="1:24" x14ac:dyDescent="0.2">
      <c r="A88" s="137" t="s">
        <v>294</v>
      </c>
      <c r="B88" s="76" t="str">
        <f t="shared" ca="1" si="0"/>
        <v>rack1</v>
      </c>
      <c r="C88" s="38"/>
      <c r="D88" s="48" t="s">
        <v>249</v>
      </c>
      <c r="E88" s="27"/>
      <c r="F88" s="27"/>
      <c r="G88" s="55" t="str">
        <f t="shared" ca="1" si="1"/>
        <v>wagoRack</v>
      </c>
      <c r="H88" s="55" t="str">
        <f t="shared" ca="1" si="1"/>
        <v>node</v>
      </c>
      <c r="I88" s="24">
        <f t="shared" ca="1" si="9"/>
        <v>21</v>
      </c>
      <c r="J88" s="40">
        <v>1</v>
      </c>
      <c r="K88" s="40"/>
      <c r="L88" s="40" t="s">
        <v>244</v>
      </c>
      <c r="M88" s="40">
        <v>0</v>
      </c>
      <c r="N88" s="40">
        <v>1</v>
      </c>
      <c r="O88" s="40">
        <v>0</v>
      </c>
      <c r="P88" s="40">
        <v>1</v>
      </c>
      <c r="Q88" s="40"/>
      <c r="R88" s="40" t="s">
        <v>3</v>
      </c>
      <c r="S88" s="41">
        <v>0</v>
      </c>
      <c r="T88" s="42">
        <f t="shared" ca="1" si="2"/>
        <v>17</v>
      </c>
      <c r="U88" s="42">
        <f t="shared" ca="1" si="3"/>
        <v>36</v>
      </c>
      <c r="V88" s="42">
        <f t="shared" ca="1" si="4"/>
        <v>30</v>
      </c>
      <c r="W88" s="42">
        <f t="shared" ca="1" si="5"/>
        <v>0</v>
      </c>
      <c r="X88" s="63">
        <f t="shared" ca="1" si="6"/>
        <v>17</v>
      </c>
    </row>
    <row r="89" spans="1:24" x14ac:dyDescent="0.2">
      <c r="A89" s="138"/>
      <c r="B89" s="77" t="str">
        <f t="shared" ca="1" si="0"/>
        <v>rack1</v>
      </c>
      <c r="C89" s="25"/>
      <c r="D89" s="50" t="s">
        <v>249</v>
      </c>
      <c r="E89" s="27"/>
      <c r="F89" s="27"/>
      <c r="G89" s="55" t="str">
        <f t="shared" ca="1" si="1"/>
        <v>wagoRack</v>
      </c>
      <c r="H89" s="55" t="str">
        <f t="shared" ca="1" si="1"/>
        <v>node</v>
      </c>
      <c r="I89" s="24">
        <f ca="1">OFFSET(I89,-1,0)</f>
        <v>21</v>
      </c>
      <c r="J89" s="28">
        <v>2</v>
      </c>
      <c r="K89" s="28"/>
      <c r="L89" s="28" t="s">
        <v>244</v>
      </c>
      <c r="M89" s="28">
        <v>0</v>
      </c>
      <c r="N89" s="28">
        <v>1</v>
      </c>
      <c r="O89" s="28">
        <v>0</v>
      </c>
      <c r="P89" s="28">
        <v>1</v>
      </c>
      <c r="Q89" s="28"/>
      <c r="R89" s="28" t="s">
        <v>3</v>
      </c>
      <c r="S89" s="30">
        <v>0</v>
      </c>
      <c r="T89" s="31">
        <f t="shared" ca="1" si="2"/>
        <v>18</v>
      </c>
      <c r="U89" s="31">
        <f t="shared" ca="1" si="3"/>
        <v>36</v>
      </c>
      <c r="V89" s="31">
        <f t="shared" ca="1" si="4"/>
        <v>30</v>
      </c>
      <c r="W89" s="31">
        <f t="shared" ca="1" si="5"/>
        <v>0</v>
      </c>
      <c r="X89" s="64">
        <f t="shared" ca="1" si="6"/>
        <v>18</v>
      </c>
    </row>
    <row r="90" spans="1:24" x14ac:dyDescent="0.2">
      <c r="A90" s="138"/>
      <c r="B90" s="77" t="str">
        <f t="shared" ca="1" si="0"/>
        <v>rack1</v>
      </c>
      <c r="C90" s="25"/>
      <c r="D90" s="50" t="s">
        <v>249</v>
      </c>
      <c r="E90" s="27"/>
      <c r="F90" s="27"/>
      <c r="G90" s="55" t="str">
        <f t="shared" ca="1" si="1"/>
        <v>wagoRack</v>
      </c>
      <c r="H90" s="55" t="str">
        <f t="shared" ca="1" si="1"/>
        <v>node</v>
      </c>
      <c r="I90" s="24">
        <f t="shared" ref="I90:I102" ca="1" si="27">OFFSET(I90,-1,0)</f>
        <v>21</v>
      </c>
      <c r="J90" s="28">
        <v>3</v>
      </c>
      <c r="K90" s="28"/>
      <c r="L90" s="28" t="s">
        <v>244</v>
      </c>
      <c r="M90" s="28">
        <v>0</v>
      </c>
      <c r="N90" s="28">
        <v>1</v>
      </c>
      <c r="O90" s="28">
        <v>0</v>
      </c>
      <c r="P90" s="28">
        <v>1</v>
      </c>
      <c r="Q90" s="28"/>
      <c r="R90" s="28" t="s">
        <v>3</v>
      </c>
      <c r="S90" s="30">
        <v>0</v>
      </c>
      <c r="T90" s="31">
        <f t="shared" ca="1" si="2"/>
        <v>19</v>
      </c>
      <c r="U90" s="31">
        <f t="shared" ca="1" si="3"/>
        <v>36</v>
      </c>
      <c r="V90" s="31">
        <f t="shared" ca="1" si="4"/>
        <v>30</v>
      </c>
      <c r="W90" s="31">
        <f t="shared" ca="1" si="5"/>
        <v>0</v>
      </c>
      <c r="X90" s="64">
        <f t="shared" ca="1" si="6"/>
        <v>19</v>
      </c>
    </row>
    <row r="91" spans="1:24" x14ac:dyDescent="0.2">
      <c r="A91" s="138"/>
      <c r="B91" s="77" t="str">
        <f t="shared" ca="1" si="0"/>
        <v>rack1</v>
      </c>
      <c r="C91" s="25"/>
      <c r="D91" s="50" t="s">
        <v>249</v>
      </c>
      <c r="E91" s="27"/>
      <c r="F91" s="27"/>
      <c r="G91" s="55" t="str">
        <f t="shared" ca="1" si="1"/>
        <v>wagoRack</v>
      </c>
      <c r="H91" s="55" t="str">
        <f t="shared" ca="1" si="1"/>
        <v>node</v>
      </c>
      <c r="I91" s="24">
        <f t="shared" ca="1" si="27"/>
        <v>21</v>
      </c>
      <c r="J91" s="28">
        <v>4</v>
      </c>
      <c r="K91" s="28"/>
      <c r="L91" s="28" t="s">
        <v>244</v>
      </c>
      <c r="M91" s="28">
        <v>0</v>
      </c>
      <c r="N91" s="28">
        <v>1</v>
      </c>
      <c r="O91" s="28">
        <v>0</v>
      </c>
      <c r="P91" s="28">
        <v>1</v>
      </c>
      <c r="Q91" s="28"/>
      <c r="R91" s="28" t="s">
        <v>3</v>
      </c>
      <c r="S91" s="30">
        <v>0</v>
      </c>
      <c r="T91" s="31">
        <f t="shared" ca="1" si="2"/>
        <v>20</v>
      </c>
      <c r="U91" s="31">
        <f t="shared" ca="1" si="3"/>
        <v>36</v>
      </c>
      <c r="V91" s="31">
        <f t="shared" ca="1" si="4"/>
        <v>30</v>
      </c>
      <c r="W91" s="31">
        <f t="shared" ca="1" si="5"/>
        <v>0</v>
      </c>
      <c r="X91" s="64">
        <f t="shared" ca="1" si="6"/>
        <v>20</v>
      </c>
    </row>
    <row r="92" spans="1:24" x14ac:dyDescent="0.2">
      <c r="A92" s="138"/>
      <c r="B92" s="77" t="str">
        <f t="shared" ca="1" si="0"/>
        <v>rack1</v>
      </c>
      <c r="C92" s="25"/>
      <c r="D92" s="50" t="s">
        <v>249</v>
      </c>
      <c r="E92" s="27"/>
      <c r="F92" s="27"/>
      <c r="G92" s="55" t="str">
        <f t="shared" ca="1" si="1"/>
        <v>wagoRack</v>
      </c>
      <c r="H92" s="55" t="str">
        <f t="shared" ca="1" si="1"/>
        <v>node</v>
      </c>
      <c r="I92" s="24">
        <f t="shared" ca="1" si="27"/>
        <v>21</v>
      </c>
      <c r="J92" s="28">
        <v>5</v>
      </c>
      <c r="K92" s="28"/>
      <c r="L92" s="28" t="s">
        <v>244</v>
      </c>
      <c r="M92" s="28">
        <v>0</v>
      </c>
      <c r="N92" s="28">
        <v>1</v>
      </c>
      <c r="O92" s="28">
        <v>0</v>
      </c>
      <c r="P92" s="28">
        <v>1</v>
      </c>
      <c r="Q92" s="28"/>
      <c r="R92" s="28" t="s">
        <v>3</v>
      </c>
      <c r="S92" s="30">
        <v>0</v>
      </c>
      <c r="T92" s="31">
        <f t="shared" ca="1" si="2"/>
        <v>21</v>
      </c>
      <c r="U92" s="31">
        <f t="shared" ca="1" si="3"/>
        <v>36</v>
      </c>
      <c r="V92" s="31">
        <f t="shared" ca="1" si="4"/>
        <v>30</v>
      </c>
      <c r="W92" s="31">
        <f t="shared" ca="1" si="5"/>
        <v>0</v>
      </c>
      <c r="X92" s="64">
        <f t="shared" ca="1" si="6"/>
        <v>21</v>
      </c>
    </row>
    <row r="93" spans="1:24" x14ac:dyDescent="0.2">
      <c r="A93" s="138"/>
      <c r="B93" s="77" t="str">
        <f t="shared" ca="1" si="0"/>
        <v>rack1</v>
      </c>
      <c r="C93" s="25"/>
      <c r="D93" s="50" t="s">
        <v>249</v>
      </c>
      <c r="E93" s="27"/>
      <c r="F93" s="27"/>
      <c r="G93" s="55" t="str">
        <f t="shared" ca="1" si="1"/>
        <v>wagoRack</v>
      </c>
      <c r="H93" s="55" t="str">
        <f t="shared" ca="1" si="1"/>
        <v>node</v>
      </c>
      <c r="I93" s="24">
        <f t="shared" ca="1" si="27"/>
        <v>21</v>
      </c>
      <c r="J93" s="28">
        <v>6</v>
      </c>
      <c r="K93" s="28"/>
      <c r="L93" s="28" t="s">
        <v>244</v>
      </c>
      <c r="M93" s="28">
        <v>0</v>
      </c>
      <c r="N93" s="28">
        <v>1</v>
      </c>
      <c r="O93" s="28">
        <v>0</v>
      </c>
      <c r="P93" s="28">
        <v>1</v>
      </c>
      <c r="Q93" s="28"/>
      <c r="R93" s="28" t="s">
        <v>3</v>
      </c>
      <c r="S93" s="30">
        <v>0</v>
      </c>
      <c r="T93" s="31">
        <f t="shared" ca="1" si="2"/>
        <v>22</v>
      </c>
      <c r="U93" s="31">
        <f t="shared" ca="1" si="3"/>
        <v>36</v>
      </c>
      <c r="V93" s="31">
        <f t="shared" ca="1" si="4"/>
        <v>30</v>
      </c>
      <c r="W93" s="31">
        <f t="shared" ca="1" si="5"/>
        <v>0</v>
      </c>
      <c r="X93" s="64">
        <f t="shared" ca="1" si="6"/>
        <v>22</v>
      </c>
    </row>
    <row r="94" spans="1:24" x14ac:dyDescent="0.2">
      <c r="A94" s="138"/>
      <c r="B94" s="77" t="str">
        <f t="shared" ca="1" si="0"/>
        <v>rack1</v>
      </c>
      <c r="C94" s="25"/>
      <c r="D94" s="50" t="s">
        <v>249</v>
      </c>
      <c r="E94" s="27"/>
      <c r="F94" s="27"/>
      <c r="G94" s="55" t="str">
        <f t="shared" ca="1" si="1"/>
        <v>wagoRack</v>
      </c>
      <c r="H94" s="55" t="str">
        <f t="shared" ca="1" si="1"/>
        <v>node</v>
      </c>
      <c r="I94" s="24">
        <f t="shared" ca="1" si="27"/>
        <v>21</v>
      </c>
      <c r="J94" s="28">
        <v>7</v>
      </c>
      <c r="K94" s="28"/>
      <c r="L94" s="28" t="s">
        <v>244</v>
      </c>
      <c r="M94" s="28">
        <v>0</v>
      </c>
      <c r="N94" s="28">
        <v>1</v>
      </c>
      <c r="O94" s="28">
        <v>0</v>
      </c>
      <c r="P94" s="28">
        <v>1</v>
      </c>
      <c r="Q94" s="28"/>
      <c r="R94" s="28" t="s">
        <v>3</v>
      </c>
      <c r="S94" s="30">
        <v>0</v>
      </c>
      <c r="T94" s="31">
        <f t="shared" ca="1" si="2"/>
        <v>23</v>
      </c>
      <c r="U94" s="31">
        <f t="shared" ca="1" si="3"/>
        <v>36</v>
      </c>
      <c r="V94" s="31">
        <f t="shared" ca="1" si="4"/>
        <v>30</v>
      </c>
      <c r="W94" s="31">
        <f t="shared" ca="1" si="5"/>
        <v>0</v>
      </c>
      <c r="X94" s="64">
        <f t="shared" ca="1" si="6"/>
        <v>23</v>
      </c>
    </row>
    <row r="95" spans="1:24" x14ac:dyDescent="0.2">
      <c r="A95" s="138"/>
      <c r="B95" s="81" t="str">
        <f t="shared" ca="1" si="0"/>
        <v>rack1</v>
      </c>
      <c r="C95" s="25"/>
      <c r="D95" s="50" t="s">
        <v>249</v>
      </c>
      <c r="E95" s="27"/>
      <c r="F95" s="27"/>
      <c r="G95" s="55" t="str">
        <f t="shared" ca="1" si="1"/>
        <v>wagoRack</v>
      </c>
      <c r="H95" s="55" t="str">
        <f t="shared" ca="1" si="1"/>
        <v>node</v>
      </c>
      <c r="I95" s="24">
        <f t="shared" ca="1" si="27"/>
        <v>21</v>
      </c>
      <c r="J95" s="28">
        <v>8</v>
      </c>
      <c r="K95" s="28"/>
      <c r="L95" s="28" t="s">
        <v>244</v>
      </c>
      <c r="M95" s="28">
        <v>0</v>
      </c>
      <c r="N95" s="28">
        <v>1</v>
      </c>
      <c r="O95" s="28">
        <v>0</v>
      </c>
      <c r="P95" s="28">
        <v>1</v>
      </c>
      <c r="Q95" s="28"/>
      <c r="R95" s="28" t="s">
        <v>3</v>
      </c>
      <c r="S95" s="30">
        <v>0</v>
      </c>
      <c r="T95" s="31">
        <f t="shared" ca="1" si="2"/>
        <v>24</v>
      </c>
      <c r="U95" s="31">
        <f t="shared" ca="1" si="3"/>
        <v>36</v>
      </c>
      <c r="V95" s="31">
        <f t="shared" ca="1" si="4"/>
        <v>30</v>
      </c>
      <c r="W95" s="31">
        <f t="shared" ca="1" si="5"/>
        <v>0</v>
      </c>
      <c r="X95" s="64">
        <f t="shared" ca="1" si="6"/>
        <v>24</v>
      </c>
    </row>
    <row r="96" spans="1:24" x14ac:dyDescent="0.2">
      <c r="A96" s="138"/>
      <c r="B96" s="77" t="str">
        <f t="shared" ca="1" si="0"/>
        <v>rack1</v>
      </c>
      <c r="C96" s="25"/>
      <c r="D96" s="50" t="s">
        <v>249</v>
      </c>
      <c r="E96" s="27"/>
      <c r="F96" s="27"/>
      <c r="G96" s="55" t="str">
        <f t="shared" ca="1" si="1"/>
        <v>wagoRack</v>
      </c>
      <c r="H96" s="55" t="str">
        <f t="shared" ca="1" si="1"/>
        <v>node</v>
      </c>
      <c r="I96" s="24">
        <f t="shared" ca="1" si="27"/>
        <v>21</v>
      </c>
      <c r="J96" s="28">
        <v>9</v>
      </c>
      <c r="K96" s="28"/>
      <c r="L96" s="28" t="s">
        <v>244</v>
      </c>
      <c r="M96" s="28">
        <v>0</v>
      </c>
      <c r="N96" s="28">
        <v>1</v>
      </c>
      <c r="O96" s="28">
        <v>0</v>
      </c>
      <c r="P96" s="28">
        <v>1</v>
      </c>
      <c r="Q96" s="28"/>
      <c r="R96" s="28" t="s">
        <v>3</v>
      </c>
      <c r="S96" s="30">
        <v>0</v>
      </c>
      <c r="T96" s="31">
        <f t="shared" ca="1" si="2"/>
        <v>25</v>
      </c>
      <c r="U96" s="31">
        <f t="shared" ca="1" si="3"/>
        <v>36</v>
      </c>
      <c r="V96" s="31">
        <f t="shared" ca="1" si="4"/>
        <v>30</v>
      </c>
      <c r="W96" s="31">
        <f t="shared" ca="1" si="5"/>
        <v>0</v>
      </c>
      <c r="X96" s="64">
        <f t="shared" ca="1" si="6"/>
        <v>25</v>
      </c>
    </row>
    <row r="97" spans="1:24" x14ac:dyDescent="0.2">
      <c r="A97" s="138"/>
      <c r="B97" s="77" t="str">
        <f t="shared" ca="1" si="0"/>
        <v>rack1</v>
      </c>
      <c r="C97" s="25"/>
      <c r="D97" s="50" t="s">
        <v>249</v>
      </c>
      <c r="E97" s="27"/>
      <c r="F97" s="27"/>
      <c r="G97" s="55" t="str">
        <f t="shared" ca="1" si="1"/>
        <v>wagoRack</v>
      </c>
      <c r="H97" s="55" t="str">
        <f t="shared" ca="1" si="1"/>
        <v>node</v>
      </c>
      <c r="I97" s="24">
        <f t="shared" ca="1" si="27"/>
        <v>21</v>
      </c>
      <c r="J97" s="28">
        <v>10</v>
      </c>
      <c r="K97" s="28"/>
      <c r="L97" s="28" t="s">
        <v>244</v>
      </c>
      <c r="M97" s="28">
        <v>0</v>
      </c>
      <c r="N97" s="28">
        <v>1</v>
      </c>
      <c r="O97" s="28">
        <v>0</v>
      </c>
      <c r="P97" s="28">
        <v>1</v>
      </c>
      <c r="Q97" s="28"/>
      <c r="R97" s="28" t="s">
        <v>3</v>
      </c>
      <c r="S97" s="30">
        <v>0</v>
      </c>
      <c r="T97" s="31">
        <f t="shared" ca="1" si="2"/>
        <v>26</v>
      </c>
      <c r="U97" s="31">
        <f t="shared" ca="1" si="3"/>
        <v>36</v>
      </c>
      <c r="V97" s="31">
        <f t="shared" ca="1" si="4"/>
        <v>30</v>
      </c>
      <c r="W97" s="31">
        <f t="shared" ca="1" si="5"/>
        <v>0</v>
      </c>
      <c r="X97" s="64">
        <f t="shared" ca="1" si="6"/>
        <v>26</v>
      </c>
    </row>
    <row r="98" spans="1:24" x14ac:dyDescent="0.2">
      <c r="A98" s="138"/>
      <c r="B98" s="77" t="str">
        <f t="shared" ca="1" si="0"/>
        <v>rack1</v>
      </c>
      <c r="C98" s="25"/>
      <c r="D98" s="50" t="s">
        <v>249</v>
      </c>
      <c r="E98" s="27"/>
      <c r="F98" s="27"/>
      <c r="G98" s="55" t="str">
        <f t="shared" ca="1" si="1"/>
        <v>wagoRack</v>
      </c>
      <c r="H98" s="55" t="str">
        <f t="shared" ca="1" si="1"/>
        <v>node</v>
      </c>
      <c r="I98" s="24">
        <f t="shared" ca="1" si="27"/>
        <v>21</v>
      </c>
      <c r="J98" s="28">
        <v>11</v>
      </c>
      <c r="K98" s="28"/>
      <c r="L98" s="28" t="s">
        <v>244</v>
      </c>
      <c r="M98" s="28">
        <v>0</v>
      </c>
      <c r="N98" s="28">
        <v>1</v>
      </c>
      <c r="O98" s="28">
        <v>0</v>
      </c>
      <c r="P98" s="28">
        <v>1</v>
      </c>
      <c r="Q98" s="28"/>
      <c r="R98" s="28" t="s">
        <v>3</v>
      </c>
      <c r="S98" s="30">
        <v>0</v>
      </c>
      <c r="T98" s="31">
        <f t="shared" ca="1" si="2"/>
        <v>27</v>
      </c>
      <c r="U98" s="31">
        <f t="shared" ca="1" si="3"/>
        <v>36</v>
      </c>
      <c r="V98" s="31">
        <f t="shared" ca="1" si="4"/>
        <v>30</v>
      </c>
      <c r="W98" s="31">
        <f t="shared" ca="1" si="5"/>
        <v>0</v>
      </c>
      <c r="X98" s="64">
        <f t="shared" ca="1" si="6"/>
        <v>27</v>
      </c>
    </row>
    <row r="99" spans="1:24" x14ac:dyDescent="0.2">
      <c r="A99" s="138"/>
      <c r="B99" s="77" t="str">
        <f t="shared" ca="1" si="0"/>
        <v>rack1</v>
      </c>
      <c r="C99" s="25"/>
      <c r="D99" s="50" t="s">
        <v>249</v>
      </c>
      <c r="E99" s="27"/>
      <c r="F99" s="27"/>
      <c r="G99" s="55" t="str">
        <f t="shared" ca="1" si="1"/>
        <v>wagoRack</v>
      </c>
      <c r="H99" s="55" t="str">
        <f t="shared" ca="1" si="1"/>
        <v>node</v>
      </c>
      <c r="I99" s="24">
        <f t="shared" ca="1" si="27"/>
        <v>21</v>
      </c>
      <c r="J99" s="28">
        <v>12</v>
      </c>
      <c r="K99" s="28"/>
      <c r="L99" s="28" t="s">
        <v>244</v>
      </c>
      <c r="M99" s="28">
        <v>0</v>
      </c>
      <c r="N99" s="28">
        <v>1</v>
      </c>
      <c r="O99" s="28">
        <v>0</v>
      </c>
      <c r="P99" s="28">
        <v>1</v>
      </c>
      <c r="Q99" s="28"/>
      <c r="R99" s="28" t="s">
        <v>3</v>
      </c>
      <c r="S99" s="30">
        <v>0</v>
      </c>
      <c r="T99" s="31">
        <f t="shared" ca="1" si="2"/>
        <v>28</v>
      </c>
      <c r="U99" s="31">
        <f t="shared" ca="1" si="3"/>
        <v>36</v>
      </c>
      <c r="V99" s="31">
        <f t="shared" ca="1" si="4"/>
        <v>30</v>
      </c>
      <c r="W99" s="31">
        <f t="shared" ca="1" si="5"/>
        <v>0</v>
      </c>
      <c r="X99" s="64">
        <f t="shared" ca="1" si="6"/>
        <v>28</v>
      </c>
    </row>
    <row r="100" spans="1:24" x14ac:dyDescent="0.2">
      <c r="A100" s="138"/>
      <c r="B100" s="77" t="str">
        <f t="shared" ca="1" si="0"/>
        <v>rack1</v>
      </c>
      <c r="C100" s="25"/>
      <c r="D100" s="50" t="s">
        <v>249</v>
      </c>
      <c r="E100" s="27"/>
      <c r="F100" s="27"/>
      <c r="G100" s="55" t="str">
        <f t="shared" ca="1" si="1"/>
        <v>wagoRack</v>
      </c>
      <c r="H100" s="55" t="str">
        <f t="shared" ca="1" si="1"/>
        <v>node</v>
      </c>
      <c r="I100" s="24">
        <f t="shared" ca="1" si="27"/>
        <v>21</v>
      </c>
      <c r="J100" s="28">
        <v>13</v>
      </c>
      <c r="K100" s="28"/>
      <c r="L100" s="28" t="s">
        <v>244</v>
      </c>
      <c r="M100" s="28">
        <v>0</v>
      </c>
      <c r="N100" s="28">
        <v>1</v>
      </c>
      <c r="O100" s="28">
        <v>0</v>
      </c>
      <c r="P100" s="28">
        <v>1</v>
      </c>
      <c r="Q100" s="28"/>
      <c r="R100" s="28" t="s">
        <v>3</v>
      </c>
      <c r="S100" s="30">
        <v>0</v>
      </c>
      <c r="T100" s="31">
        <f t="shared" ca="1" si="2"/>
        <v>29</v>
      </c>
      <c r="U100" s="31">
        <f t="shared" ca="1" si="3"/>
        <v>36</v>
      </c>
      <c r="V100" s="31">
        <f t="shared" ca="1" si="4"/>
        <v>30</v>
      </c>
      <c r="W100" s="31">
        <f t="shared" ca="1" si="5"/>
        <v>0</v>
      </c>
      <c r="X100" s="64">
        <f t="shared" ca="1" si="6"/>
        <v>29</v>
      </c>
    </row>
    <row r="101" spans="1:24" x14ac:dyDescent="0.2">
      <c r="A101" s="138"/>
      <c r="B101" s="77" t="str">
        <f t="shared" ca="1" si="0"/>
        <v>rack1</v>
      </c>
      <c r="C101" s="25"/>
      <c r="D101" s="50" t="s">
        <v>249</v>
      </c>
      <c r="E101" s="27"/>
      <c r="F101" s="27"/>
      <c r="G101" s="55" t="str">
        <f t="shared" ca="1" si="1"/>
        <v>wagoRack</v>
      </c>
      <c r="H101" s="55" t="str">
        <f t="shared" ca="1" si="1"/>
        <v>node</v>
      </c>
      <c r="I101" s="24">
        <f t="shared" ca="1" si="27"/>
        <v>21</v>
      </c>
      <c r="J101" s="28">
        <v>14</v>
      </c>
      <c r="K101" s="28"/>
      <c r="L101" s="28" t="s">
        <v>244</v>
      </c>
      <c r="M101" s="28">
        <v>0</v>
      </c>
      <c r="N101" s="28">
        <v>1</v>
      </c>
      <c r="O101" s="28">
        <v>0</v>
      </c>
      <c r="P101" s="28">
        <v>1</v>
      </c>
      <c r="Q101" s="28"/>
      <c r="R101" s="28" t="s">
        <v>3</v>
      </c>
      <c r="S101" s="30">
        <v>0</v>
      </c>
      <c r="T101" s="31">
        <f t="shared" ca="1" si="2"/>
        <v>30</v>
      </c>
      <c r="U101" s="31">
        <f t="shared" ca="1" si="3"/>
        <v>36</v>
      </c>
      <c r="V101" s="31">
        <f t="shared" ca="1" si="4"/>
        <v>30</v>
      </c>
      <c r="W101" s="31">
        <f t="shared" ca="1" si="5"/>
        <v>0</v>
      </c>
      <c r="X101" s="64">
        <f t="shared" ca="1" si="6"/>
        <v>30</v>
      </c>
    </row>
    <row r="102" spans="1:24" x14ac:dyDescent="0.2">
      <c r="A102" s="138"/>
      <c r="B102" s="77" t="str">
        <f t="shared" ca="1" si="0"/>
        <v>rack1</v>
      </c>
      <c r="C102" s="25"/>
      <c r="D102" s="50" t="s">
        <v>249</v>
      </c>
      <c r="E102" s="27"/>
      <c r="F102" s="27"/>
      <c r="G102" s="55" t="str">
        <f t="shared" ca="1" si="1"/>
        <v>wagoRack</v>
      </c>
      <c r="H102" s="55" t="str">
        <f t="shared" ca="1" si="1"/>
        <v>node</v>
      </c>
      <c r="I102" s="24">
        <f t="shared" ca="1" si="27"/>
        <v>21</v>
      </c>
      <c r="J102" s="28">
        <v>15</v>
      </c>
      <c r="K102" s="28"/>
      <c r="L102" s="28" t="s">
        <v>244</v>
      </c>
      <c r="M102" s="28">
        <v>0</v>
      </c>
      <c r="N102" s="28">
        <v>1</v>
      </c>
      <c r="O102" s="28">
        <v>0</v>
      </c>
      <c r="P102" s="28">
        <v>1</v>
      </c>
      <c r="Q102" s="28"/>
      <c r="R102" s="28" t="s">
        <v>3</v>
      </c>
      <c r="S102" s="30">
        <v>0</v>
      </c>
      <c r="T102" s="31">
        <f t="shared" ca="1" si="2"/>
        <v>31</v>
      </c>
      <c r="U102" s="31">
        <f t="shared" ca="1" si="3"/>
        <v>36</v>
      </c>
      <c r="V102" s="31">
        <f t="shared" ca="1" si="4"/>
        <v>30</v>
      </c>
      <c r="W102" s="31">
        <f t="shared" ca="1" si="5"/>
        <v>0</v>
      </c>
      <c r="X102" s="64">
        <f t="shared" ca="1" si="6"/>
        <v>31</v>
      </c>
    </row>
    <row r="103" spans="1:24" ht="13.5" thickBot="1" x14ac:dyDescent="0.25">
      <c r="A103" s="139"/>
      <c r="B103" s="78" t="str">
        <f t="shared" ca="1" si="0"/>
        <v>rack1</v>
      </c>
      <c r="C103" s="33"/>
      <c r="D103" s="49" t="s">
        <v>249</v>
      </c>
      <c r="E103" s="35"/>
      <c r="F103" s="35"/>
      <c r="G103" s="58" t="str">
        <f t="shared" ca="1" si="1"/>
        <v>wagoRack</v>
      </c>
      <c r="H103" s="58" t="str">
        <f t="shared" ca="1" si="1"/>
        <v>node</v>
      </c>
      <c r="I103" s="32">
        <f ca="1">OFFSET(I103,-1,0)</f>
        <v>21</v>
      </c>
      <c r="J103" s="32">
        <v>16</v>
      </c>
      <c r="K103" s="45"/>
      <c r="L103" s="32" t="s">
        <v>244</v>
      </c>
      <c r="M103" s="32">
        <v>0</v>
      </c>
      <c r="N103" s="32">
        <v>1</v>
      </c>
      <c r="O103" s="32">
        <v>0</v>
      </c>
      <c r="P103" s="32">
        <v>1</v>
      </c>
      <c r="Q103" s="32"/>
      <c r="R103" s="32" t="s">
        <v>3</v>
      </c>
      <c r="S103" s="36">
        <v>0</v>
      </c>
      <c r="T103" s="37">
        <f t="shared" ca="1" si="2"/>
        <v>32</v>
      </c>
      <c r="U103" s="37">
        <f t="shared" ca="1" si="3"/>
        <v>36</v>
      </c>
      <c r="V103" s="37">
        <f t="shared" ca="1" si="4"/>
        <v>30</v>
      </c>
      <c r="W103" s="37">
        <f t="shared" ca="1" si="5"/>
        <v>0</v>
      </c>
      <c r="X103" s="65">
        <f t="shared" ca="1" si="6"/>
        <v>32</v>
      </c>
    </row>
    <row r="104" spans="1:24" s="66" customFormat="1" x14ac:dyDescent="0.2">
      <c r="A104" s="137" t="s">
        <v>299</v>
      </c>
      <c r="B104" s="77" t="str">
        <f t="shared" ca="1" si="0"/>
        <v>rack1</v>
      </c>
      <c r="C104" s="38"/>
      <c r="D104" s="48" t="s">
        <v>250</v>
      </c>
      <c r="E104" s="27"/>
      <c r="F104" s="27"/>
      <c r="G104" s="55" t="str">
        <f t="shared" ca="1" si="1"/>
        <v>wagoRack</v>
      </c>
      <c r="H104" s="55" t="str">
        <f t="shared" ca="1" si="1"/>
        <v>node</v>
      </c>
      <c r="I104" s="24">
        <f t="shared" ref="I104:I106" ca="1" si="28">OFFSET(I104,-1,0)+1</f>
        <v>22</v>
      </c>
      <c r="J104" s="40">
        <v>1</v>
      </c>
      <c r="K104" s="40">
        <v>1</v>
      </c>
      <c r="L104" s="40">
        <v>2</v>
      </c>
      <c r="M104" s="40">
        <v>0</v>
      </c>
      <c r="N104" s="40">
        <v>32767</v>
      </c>
      <c r="O104" s="40">
        <v>0</v>
      </c>
      <c r="P104" s="40">
        <v>20</v>
      </c>
      <c r="Q104" s="44" t="s">
        <v>246</v>
      </c>
      <c r="R104" s="44" t="s">
        <v>247</v>
      </c>
      <c r="S104" s="41">
        <v>4</v>
      </c>
      <c r="T104" s="42">
        <f t="shared" ca="1" si="2"/>
        <v>32</v>
      </c>
      <c r="U104" s="42">
        <f t="shared" ca="1" si="3"/>
        <v>36</v>
      </c>
      <c r="V104" s="42">
        <f t="shared" ca="1" si="4"/>
        <v>30</v>
      </c>
      <c r="W104" s="42">
        <f t="shared" ca="1" si="5"/>
        <v>1</v>
      </c>
      <c r="X104" s="63">
        <f t="shared" ca="1" si="6"/>
        <v>1</v>
      </c>
    </row>
    <row r="105" spans="1:24" s="66" customFormat="1" ht="13.5" thickBot="1" x14ac:dyDescent="0.25">
      <c r="A105" s="139"/>
      <c r="B105" s="78" t="str">
        <f t="shared" ca="1" si="0"/>
        <v>rack1</v>
      </c>
      <c r="C105" s="33"/>
      <c r="D105" s="49" t="s">
        <v>250</v>
      </c>
      <c r="E105" s="57"/>
      <c r="F105" s="57"/>
      <c r="G105" s="58" t="str">
        <f t="shared" ca="1" si="1"/>
        <v>wagoRack</v>
      </c>
      <c r="H105" s="75" t="str">
        <f t="shared" ca="1" si="1"/>
        <v>node</v>
      </c>
      <c r="I105" s="56">
        <f ca="1">OFFSET(I105,-1,0)</f>
        <v>22</v>
      </c>
      <c r="J105" s="32">
        <v>2</v>
      </c>
      <c r="K105" s="32">
        <v>5</v>
      </c>
      <c r="L105" s="32">
        <v>6</v>
      </c>
      <c r="M105" s="32">
        <v>0</v>
      </c>
      <c r="N105" s="32">
        <v>32767</v>
      </c>
      <c r="O105" s="32">
        <v>0</v>
      </c>
      <c r="P105" s="32">
        <v>20</v>
      </c>
      <c r="Q105" s="43" t="s">
        <v>246</v>
      </c>
      <c r="R105" s="43" t="s">
        <v>247</v>
      </c>
      <c r="S105" s="36">
        <v>4</v>
      </c>
      <c r="T105" s="37">
        <f t="shared" ca="1" si="2"/>
        <v>32</v>
      </c>
      <c r="U105" s="37">
        <f t="shared" ca="1" si="3"/>
        <v>36</v>
      </c>
      <c r="V105" s="37">
        <f t="shared" ca="1" si="4"/>
        <v>30</v>
      </c>
      <c r="W105" s="37">
        <f t="shared" ca="1" si="5"/>
        <v>2</v>
      </c>
      <c r="X105" s="65">
        <f t="shared" ca="1" si="6"/>
        <v>2</v>
      </c>
    </row>
    <row r="106" spans="1:24" s="66" customFormat="1" x14ac:dyDescent="0.2">
      <c r="A106" s="137" t="s">
        <v>305</v>
      </c>
      <c r="B106" s="77" t="str">
        <f t="shared" ca="1" si="0"/>
        <v>rack1</v>
      </c>
      <c r="C106" s="38"/>
      <c r="D106" s="48" t="s">
        <v>250</v>
      </c>
      <c r="E106" s="27"/>
      <c r="F106" s="27"/>
      <c r="G106" s="55" t="str">
        <f t="shared" ca="1" si="1"/>
        <v>wagoRack</v>
      </c>
      <c r="H106" s="85" t="str">
        <f t="shared" ca="1" si="1"/>
        <v>node</v>
      </c>
      <c r="I106" s="24">
        <f t="shared" ca="1" si="28"/>
        <v>23</v>
      </c>
      <c r="J106" s="40">
        <v>1</v>
      </c>
      <c r="K106" s="40">
        <v>1</v>
      </c>
      <c r="L106" s="40">
        <v>2</v>
      </c>
      <c r="M106" s="40">
        <v>0</v>
      </c>
      <c r="N106" s="40">
        <v>32767</v>
      </c>
      <c r="O106" s="40">
        <v>4</v>
      </c>
      <c r="P106" s="40">
        <v>20</v>
      </c>
      <c r="Q106" s="44" t="s">
        <v>246</v>
      </c>
      <c r="R106" s="44" t="s">
        <v>247</v>
      </c>
      <c r="S106" s="41">
        <v>4</v>
      </c>
      <c r="T106" s="42">
        <f t="shared" ca="1" si="2"/>
        <v>32</v>
      </c>
      <c r="U106" s="42">
        <f t="shared" ca="1" si="3"/>
        <v>36</v>
      </c>
      <c r="V106" s="42">
        <f t="shared" ca="1" si="4"/>
        <v>30</v>
      </c>
      <c r="W106" s="42">
        <f t="shared" ca="1" si="5"/>
        <v>3</v>
      </c>
      <c r="X106" s="63">
        <f t="shared" ref="X106:X107" ca="1" si="29">IF(S106=0,T106,IF(S106=1,U106,IF(S106=3,V106,IF(S106=4,W106))))</f>
        <v>3</v>
      </c>
    </row>
    <row r="107" spans="1:24" s="66" customFormat="1" ht="13.5" thickBot="1" x14ac:dyDescent="0.25">
      <c r="A107" s="139"/>
      <c r="B107" s="78" t="str">
        <f t="shared" ca="1" si="0"/>
        <v>rack1</v>
      </c>
      <c r="C107" s="33"/>
      <c r="D107" s="49" t="s">
        <v>250</v>
      </c>
      <c r="E107" s="57"/>
      <c r="F107" s="57"/>
      <c r="G107" s="58" t="str">
        <f t="shared" ca="1" si="1"/>
        <v>wagoRack</v>
      </c>
      <c r="H107" s="75" t="str">
        <f t="shared" ca="1" si="1"/>
        <v>node</v>
      </c>
      <c r="I107" s="56">
        <f ca="1">OFFSET(I107,-1,0)</f>
        <v>23</v>
      </c>
      <c r="J107" s="32">
        <v>2</v>
      </c>
      <c r="K107" s="32">
        <v>5</v>
      </c>
      <c r="L107" s="32">
        <v>6</v>
      </c>
      <c r="M107" s="32">
        <v>0</v>
      </c>
      <c r="N107" s="32">
        <v>32767</v>
      </c>
      <c r="O107" s="32">
        <v>4</v>
      </c>
      <c r="P107" s="32">
        <v>20</v>
      </c>
      <c r="Q107" s="43" t="s">
        <v>246</v>
      </c>
      <c r="R107" s="43" t="s">
        <v>247</v>
      </c>
      <c r="S107" s="36">
        <v>4</v>
      </c>
      <c r="T107" s="37">
        <f t="shared" ca="1" si="2"/>
        <v>32</v>
      </c>
      <c r="U107" s="37">
        <f t="shared" ca="1" si="3"/>
        <v>36</v>
      </c>
      <c r="V107" s="37">
        <f t="shared" ca="1" si="4"/>
        <v>30</v>
      </c>
      <c r="W107" s="37">
        <f t="shared" ca="1" si="5"/>
        <v>4</v>
      </c>
      <c r="X107" s="65">
        <f t="shared" ca="1" si="29"/>
        <v>4</v>
      </c>
    </row>
    <row r="108" spans="1:24" x14ac:dyDescent="0.2">
      <c r="A108" s="137" t="s">
        <v>295</v>
      </c>
      <c r="B108" s="77" t="str">
        <f t="shared" ca="1" si="0"/>
        <v>rack1</v>
      </c>
      <c r="C108" s="38"/>
      <c r="D108" s="48" t="s">
        <v>250</v>
      </c>
      <c r="E108" s="27"/>
      <c r="F108" s="27"/>
      <c r="G108" s="55" t="str">
        <f t="shared" ca="1" si="1"/>
        <v>wagoRack</v>
      </c>
      <c r="H108" s="85" t="str">
        <f t="shared" ca="1" si="1"/>
        <v>node</v>
      </c>
      <c r="I108" s="24">
        <f t="shared" ca="1" si="9"/>
        <v>24</v>
      </c>
      <c r="J108" s="40">
        <v>1</v>
      </c>
      <c r="K108" s="40">
        <v>1</v>
      </c>
      <c r="L108" s="40">
        <v>2</v>
      </c>
      <c r="M108" s="40">
        <v>0</v>
      </c>
      <c r="N108" s="40">
        <v>32767</v>
      </c>
      <c r="O108" s="40">
        <v>0</v>
      </c>
      <c r="P108" s="40">
        <v>20</v>
      </c>
      <c r="Q108" s="44" t="s">
        <v>246</v>
      </c>
      <c r="R108" s="44" t="s">
        <v>247</v>
      </c>
      <c r="S108" s="41">
        <v>4</v>
      </c>
      <c r="T108" s="42">
        <f t="shared" ca="1" si="2"/>
        <v>32</v>
      </c>
      <c r="U108" s="42">
        <f t="shared" ca="1" si="3"/>
        <v>36</v>
      </c>
      <c r="V108" s="42">
        <f t="shared" ca="1" si="4"/>
        <v>30</v>
      </c>
      <c r="W108" s="42">
        <f t="shared" ca="1" si="5"/>
        <v>5</v>
      </c>
      <c r="X108" s="63">
        <f t="shared" ca="1" si="6"/>
        <v>5</v>
      </c>
    </row>
    <row r="109" spans="1:24" x14ac:dyDescent="0.2">
      <c r="A109" s="138"/>
      <c r="B109" s="77" t="str">
        <f t="shared" ca="1" si="0"/>
        <v>rack1</v>
      </c>
      <c r="C109" s="25"/>
      <c r="D109" s="50" t="s">
        <v>250</v>
      </c>
      <c r="E109" s="27"/>
      <c r="F109" s="27"/>
      <c r="G109" s="55" t="str">
        <f t="shared" ca="1" si="1"/>
        <v>wagoRack</v>
      </c>
      <c r="H109" s="55" t="str">
        <f t="shared" ca="1" si="1"/>
        <v>node</v>
      </c>
      <c r="I109" s="24">
        <f ca="1">OFFSET(I109,-1,0)</f>
        <v>24</v>
      </c>
      <c r="J109" s="28">
        <v>2</v>
      </c>
      <c r="K109" s="28">
        <v>5</v>
      </c>
      <c r="L109" s="28">
        <v>6</v>
      </c>
      <c r="M109" s="40">
        <v>0</v>
      </c>
      <c r="N109" s="40">
        <v>32767</v>
      </c>
      <c r="O109" s="40">
        <v>0</v>
      </c>
      <c r="P109" s="40">
        <v>20</v>
      </c>
      <c r="Q109" s="44" t="s">
        <v>246</v>
      </c>
      <c r="R109" s="29" t="s">
        <v>247</v>
      </c>
      <c r="S109" s="30">
        <v>4</v>
      </c>
      <c r="T109" s="31">
        <f t="shared" ref="T109:T135" ca="1" si="30">IF($S109=0,OFFSET(T109,-1,0)+1,OFFSET(T109,-1,0))</f>
        <v>32</v>
      </c>
      <c r="U109" s="31">
        <f t="shared" ref="U109:U135" ca="1" si="31">IF($S109=1,OFFSET(U109,-1,0)+1,OFFSET(U109,-1,0))</f>
        <v>36</v>
      </c>
      <c r="V109" s="31">
        <f t="shared" ref="V109:V135" ca="1" si="32">IF($S109=3,OFFSET(V109,-1,0)+1,OFFSET(V109,-1,0))</f>
        <v>30</v>
      </c>
      <c r="W109" s="31">
        <f t="shared" ref="W109:W135" ca="1" si="33">IF($S109=4,OFFSET(W109,-1,0)+1,OFFSET(W109,-1,0))</f>
        <v>6</v>
      </c>
      <c r="X109" s="64">
        <f t="shared" ca="1" si="6"/>
        <v>6</v>
      </c>
    </row>
    <row r="110" spans="1:24" x14ac:dyDescent="0.2">
      <c r="A110" s="138"/>
      <c r="B110" s="77" t="str">
        <f t="shared" ca="1" si="0"/>
        <v>rack1</v>
      </c>
      <c r="C110" s="25"/>
      <c r="D110" s="50" t="s">
        <v>250</v>
      </c>
      <c r="E110" s="27"/>
      <c r="F110" s="27"/>
      <c r="G110" s="55" t="str">
        <f t="shared" ca="1" si="1"/>
        <v>wagoRack</v>
      </c>
      <c r="H110" s="55" t="str">
        <f t="shared" ca="1" si="1"/>
        <v>node</v>
      </c>
      <c r="I110" s="24">
        <f ca="1">OFFSET(I110,-1,0)</f>
        <v>24</v>
      </c>
      <c r="J110" s="28">
        <v>3</v>
      </c>
      <c r="K110" s="28">
        <v>3</v>
      </c>
      <c r="L110" s="28">
        <v>4</v>
      </c>
      <c r="M110" s="40">
        <v>0</v>
      </c>
      <c r="N110" s="40">
        <v>32767</v>
      </c>
      <c r="O110" s="40">
        <v>0</v>
      </c>
      <c r="P110" s="40">
        <v>20</v>
      </c>
      <c r="Q110" s="44" t="s">
        <v>246</v>
      </c>
      <c r="R110" s="29" t="s">
        <v>247</v>
      </c>
      <c r="S110" s="30">
        <v>4</v>
      </c>
      <c r="T110" s="31">
        <f t="shared" ca="1" si="30"/>
        <v>32</v>
      </c>
      <c r="U110" s="31">
        <f t="shared" ca="1" si="31"/>
        <v>36</v>
      </c>
      <c r="V110" s="31">
        <f t="shared" ca="1" si="32"/>
        <v>30</v>
      </c>
      <c r="W110" s="31">
        <f t="shared" ca="1" si="33"/>
        <v>7</v>
      </c>
      <c r="X110" s="64">
        <f t="shared" ref="X110:X127" ca="1" si="34">IF(S110=0,T110,IF(S110=1,U110,IF(S110=3,V110,IF(S110=4,W110))))</f>
        <v>7</v>
      </c>
    </row>
    <row r="111" spans="1:24" ht="13.5" thickBot="1" x14ac:dyDescent="0.25">
      <c r="A111" s="139"/>
      <c r="B111" s="78" t="str">
        <f t="shared" ca="1" si="0"/>
        <v>rack1</v>
      </c>
      <c r="C111" s="33"/>
      <c r="D111" s="49" t="s">
        <v>250</v>
      </c>
      <c r="E111" s="35"/>
      <c r="F111" s="35"/>
      <c r="G111" s="58" t="str">
        <f t="shared" ca="1" si="1"/>
        <v>wagoRack</v>
      </c>
      <c r="H111" s="58" t="str">
        <f t="shared" ca="1" si="1"/>
        <v>node</v>
      </c>
      <c r="I111" s="32">
        <f ca="1">OFFSET(I111,-1,0)</f>
        <v>24</v>
      </c>
      <c r="J111" s="32">
        <v>4</v>
      </c>
      <c r="K111" s="45">
        <v>7</v>
      </c>
      <c r="L111" s="32">
        <v>8</v>
      </c>
      <c r="M111" s="46">
        <v>0</v>
      </c>
      <c r="N111" s="46">
        <v>32767</v>
      </c>
      <c r="O111" s="46">
        <v>0</v>
      </c>
      <c r="P111" s="46">
        <v>20</v>
      </c>
      <c r="Q111" s="47" t="s">
        <v>246</v>
      </c>
      <c r="R111" s="43" t="s">
        <v>247</v>
      </c>
      <c r="S111" s="36">
        <v>4</v>
      </c>
      <c r="T111" s="37">
        <f t="shared" ca="1" si="30"/>
        <v>32</v>
      </c>
      <c r="U111" s="37">
        <f t="shared" ca="1" si="31"/>
        <v>36</v>
      </c>
      <c r="V111" s="37">
        <f t="shared" ca="1" si="32"/>
        <v>30</v>
      </c>
      <c r="W111" s="37">
        <f t="shared" ca="1" si="33"/>
        <v>8</v>
      </c>
      <c r="X111" s="65">
        <f t="shared" ca="1" si="34"/>
        <v>8</v>
      </c>
    </row>
    <row r="112" spans="1:24" x14ac:dyDescent="0.2">
      <c r="A112" s="137" t="s">
        <v>296</v>
      </c>
      <c r="B112" s="77" t="str">
        <f t="shared" ca="1" si="0"/>
        <v>rack1</v>
      </c>
      <c r="C112" s="38"/>
      <c r="D112" s="48" t="s">
        <v>250</v>
      </c>
      <c r="E112" s="27"/>
      <c r="F112" s="27"/>
      <c r="G112" s="55" t="str">
        <f t="shared" ca="1" si="1"/>
        <v>wagoRack</v>
      </c>
      <c r="H112" s="55" t="str">
        <f t="shared" ca="1" si="1"/>
        <v>node</v>
      </c>
      <c r="I112" s="24">
        <f t="shared" ca="1" si="9"/>
        <v>25</v>
      </c>
      <c r="J112" s="40">
        <v>1</v>
      </c>
      <c r="K112" s="40">
        <v>1</v>
      </c>
      <c r="L112" s="40">
        <v>2</v>
      </c>
      <c r="M112" s="40">
        <v>0</v>
      </c>
      <c r="N112" s="40">
        <v>32767</v>
      </c>
      <c r="O112" s="40">
        <v>4</v>
      </c>
      <c r="P112" s="40">
        <v>20</v>
      </c>
      <c r="Q112" s="44" t="s">
        <v>246</v>
      </c>
      <c r="R112" s="44" t="s">
        <v>247</v>
      </c>
      <c r="S112" s="41">
        <v>4</v>
      </c>
      <c r="T112" s="42">
        <f t="shared" ca="1" si="30"/>
        <v>32</v>
      </c>
      <c r="U112" s="42">
        <f t="shared" ca="1" si="31"/>
        <v>36</v>
      </c>
      <c r="V112" s="42">
        <f t="shared" ca="1" si="32"/>
        <v>30</v>
      </c>
      <c r="W112" s="42">
        <f t="shared" ca="1" si="33"/>
        <v>9</v>
      </c>
      <c r="X112" s="63">
        <f t="shared" ca="1" si="34"/>
        <v>9</v>
      </c>
    </row>
    <row r="113" spans="1:24" x14ac:dyDescent="0.2">
      <c r="A113" s="138"/>
      <c r="B113" s="77" t="str">
        <f t="shared" ref="B113:B135" ca="1" si="35">TEXT(OFFSET(B113,-1,0),"")</f>
        <v>rack1</v>
      </c>
      <c r="C113" s="25"/>
      <c r="D113" s="50" t="s">
        <v>250</v>
      </c>
      <c r="E113" s="27"/>
      <c r="F113" s="27"/>
      <c r="G113" s="55" t="str">
        <f t="shared" ref="G113:H128" ca="1" si="36">TEXT(OFFSET(G113,-1,0),"")</f>
        <v>wagoRack</v>
      </c>
      <c r="H113" s="55" t="str">
        <f t="shared" ca="1" si="36"/>
        <v>node</v>
      </c>
      <c r="I113" s="24">
        <f ca="1">OFFSET(I113,-1,0)</f>
        <v>25</v>
      </c>
      <c r="J113" s="28">
        <v>2</v>
      </c>
      <c r="K113" s="28">
        <v>5</v>
      </c>
      <c r="L113" s="28">
        <v>6</v>
      </c>
      <c r="M113" s="40">
        <v>0</v>
      </c>
      <c r="N113" s="40">
        <v>32767</v>
      </c>
      <c r="O113" s="40">
        <v>4</v>
      </c>
      <c r="P113" s="40">
        <v>20</v>
      </c>
      <c r="Q113" s="44" t="s">
        <v>246</v>
      </c>
      <c r="R113" s="29" t="s">
        <v>247</v>
      </c>
      <c r="S113" s="30">
        <v>4</v>
      </c>
      <c r="T113" s="31">
        <f t="shared" ca="1" si="30"/>
        <v>32</v>
      </c>
      <c r="U113" s="31">
        <f t="shared" ca="1" si="31"/>
        <v>36</v>
      </c>
      <c r="V113" s="31">
        <f t="shared" ca="1" si="32"/>
        <v>30</v>
      </c>
      <c r="W113" s="31">
        <f t="shared" ca="1" si="33"/>
        <v>10</v>
      </c>
      <c r="X113" s="64">
        <f t="shared" ca="1" si="34"/>
        <v>10</v>
      </c>
    </row>
    <row r="114" spans="1:24" x14ac:dyDescent="0.2">
      <c r="A114" s="138"/>
      <c r="B114" s="77" t="str">
        <f t="shared" ca="1" si="35"/>
        <v>rack1</v>
      </c>
      <c r="C114" s="25"/>
      <c r="D114" s="50" t="s">
        <v>250</v>
      </c>
      <c r="E114" s="27"/>
      <c r="F114" s="27"/>
      <c r="G114" s="55" t="str">
        <f t="shared" ca="1" si="36"/>
        <v>wagoRack</v>
      </c>
      <c r="H114" s="55" t="str">
        <f t="shared" ca="1" si="36"/>
        <v>node</v>
      </c>
      <c r="I114" s="24">
        <f ca="1">OFFSET(I114,-1,0)</f>
        <v>25</v>
      </c>
      <c r="J114" s="28">
        <v>3</v>
      </c>
      <c r="K114" s="28">
        <v>3</v>
      </c>
      <c r="L114" s="28">
        <v>4</v>
      </c>
      <c r="M114" s="40">
        <v>0</v>
      </c>
      <c r="N114" s="40">
        <v>32767</v>
      </c>
      <c r="O114" s="40">
        <v>4</v>
      </c>
      <c r="P114" s="40">
        <v>20</v>
      </c>
      <c r="Q114" s="44" t="s">
        <v>246</v>
      </c>
      <c r="R114" s="29" t="s">
        <v>247</v>
      </c>
      <c r="S114" s="30">
        <v>4</v>
      </c>
      <c r="T114" s="31">
        <f t="shared" ca="1" si="30"/>
        <v>32</v>
      </c>
      <c r="U114" s="31">
        <f t="shared" ca="1" si="31"/>
        <v>36</v>
      </c>
      <c r="V114" s="31">
        <f t="shared" ca="1" si="32"/>
        <v>30</v>
      </c>
      <c r="W114" s="31">
        <f t="shared" ca="1" si="33"/>
        <v>11</v>
      </c>
      <c r="X114" s="64">
        <f t="shared" ca="1" si="34"/>
        <v>11</v>
      </c>
    </row>
    <row r="115" spans="1:24" ht="13.5" thickBot="1" x14ac:dyDescent="0.25">
      <c r="A115" s="139"/>
      <c r="B115" s="78" t="str">
        <f t="shared" ca="1" si="35"/>
        <v>rack1</v>
      </c>
      <c r="C115" s="33"/>
      <c r="D115" s="49" t="s">
        <v>250</v>
      </c>
      <c r="E115" s="35"/>
      <c r="F115" s="35"/>
      <c r="G115" s="58" t="str">
        <f t="shared" ca="1" si="36"/>
        <v>wagoRack</v>
      </c>
      <c r="H115" s="58" t="str">
        <f t="shared" ca="1" si="36"/>
        <v>node</v>
      </c>
      <c r="I115" s="32">
        <f ca="1">OFFSET(I115,-1,0)</f>
        <v>25</v>
      </c>
      <c r="J115" s="32">
        <v>4</v>
      </c>
      <c r="K115" s="45">
        <v>7</v>
      </c>
      <c r="L115" s="32">
        <v>8</v>
      </c>
      <c r="M115" s="46">
        <v>0</v>
      </c>
      <c r="N115" s="46">
        <v>32767</v>
      </c>
      <c r="O115" s="46">
        <v>4</v>
      </c>
      <c r="P115" s="46">
        <v>20</v>
      </c>
      <c r="Q115" s="47" t="s">
        <v>246</v>
      </c>
      <c r="R115" s="43" t="s">
        <v>247</v>
      </c>
      <c r="S115" s="36">
        <v>4</v>
      </c>
      <c r="T115" s="37">
        <f t="shared" ca="1" si="30"/>
        <v>32</v>
      </c>
      <c r="U115" s="37">
        <f t="shared" ca="1" si="31"/>
        <v>36</v>
      </c>
      <c r="V115" s="37">
        <f t="shared" ca="1" si="32"/>
        <v>30</v>
      </c>
      <c r="W115" s="37">
        <f t="shared" ca="1" si="33"/>
        <v>12</v>
      </c>
      <c r="X115" s="65">
        <f t="shared" ca="1" si="34"/>
        <v>12</v>
      </c>
    </row>
    <row r="116" spans="1:24" x14ac:dyDescent="0.2">
      <c r="A116" s="137" t="s">
        <v>303</v>
      </c>
      <c r="B116" s="77" t="str">
        <f t="shared" ca="1" si="35"/>
        <v>rack1</v>
      </c>
      <c r="C116" s="38"/>
      <c r="D116" s="51" t="s">
        <v>250</v>
      </c>
      <c r="E116" s="27"/>
      <c r="F116" s="27"/>
      <c r="G116" s="55" t="str">
        <f t="shared" ca="1" si="36"/>
        <v>wagoRack</v>
      </c>
      <c r="H116" s="55" t="str">
        <f t="shared" ca="1" si="36"/>
        <v>node</v>
      </c>
      <c r="I116" s="24">
        <f t="shared" ref="I116" ca="1" si="37">OFFSET(I116,-1,0)+1</f>
        <v>26</v>
      </c>
      <c r="J116" s="40">
        <v>1</v>
      </c>
      <c r="K116" s="40">
        <v>1</v>
      </c>
      <c r="L116" s="40">
        <v>2</v>
      </c>
      <c r="M116" s="40">
        <v>-32767</v>
      </c>
      <c r="N116" s="40">
        <v>32767</v>
      </c>
      <c r="O116" s="40">
        <v>-10</v>
      </c>
      <c r="P116" s="40">
        <v>10</v>
      </c>
      <c r="Q116" s="44" t="s">
        <v>248</v>
      </c>
      <c r="R116" s="44" t="s">
        <v>247</v>
      </c>
      <c r="S116" s="41">
        <v>4</v>
      </c>
      <c r="T116" s="42">
        <f t="shared" ca="1" si="30"/>
        <v>32</v>
      </c>
      <c r="U116" s="42">
        <f t="shared" ca="1" si="31"/>
        <v>36</v>
      </c>
      <c r="V116" s="42">
        <f t="shared" ca="1" si="32"/>
        <v>30</v>
      </c>
      <c r="W116" s="42">
        <f t="shared" ca="1" si="33"/>
        <v>13</v>
      </c>
      <c r="X116" s="63">
        <f t="shared" ca="1" si="34"/>
        <v>13</v>
      </c>
    </row>
    <row r="117" spans="1:24" x14ac:dyDescent="0.2">
      <c r="A117" s="138"/>
      <c r="B117" s="77" t="str">
        <f t="shared" ca="1" si="35"/>
        <v>rack1</v>
      </c>
      <c r="C117" s="25"/>
      <c r="D117" s="52" t="s">
        <v>250</v>
      </c>
      <c r="E117" s="27"/>
      <c r="F117" s="27"/>
      <c r="G117" s="55" t="str">
        <f t="shared" ca="1" si="36"/>
        <v>wagoRack</v>
      </c>
      <c r="H117" s="55" t="str">
        <f t="shared" ca="1" si="36"/>
        <v>node</v>
      </c>
      <c r="I117" s="24">
        <f ca="1">OFFSET(I117,-1,0)</f>
        <v>26</v>
      </c>
      <c r="J117" s="28">
        <v>2</v>
      </c>
      <c r="K117" s="28">
        <v>5</v>
      </c>
      <c r="L117" s="28">
        <v>6</v>
      </c>
      <c r="M117" s="28">
        <v>-32767</v>
      </c>
      <c r="N117" s="28">
        <v>32767</v>
      </c>
      <c r="O117" s="28">
        <v>-10</v>
      </c>
      <c r="P117" s="28">
        <v>10</v>
      </c>
      <c r="Q117" s="29" t="s">
        <v>248</v>
      </c>
      <c r="R117" s="29" t="s">
        <v>247</v>
      </c>
      <c r="S117" s="30">
        <v>4</v>
      </c>
      <c r="T117" s="31">
        <f t="shared" ca="1" si="30"/>
        <v>32</v>
      </c>
      <c r="U117" s="31">
        <f t="shared" ca="1" si="31"/>
        <v>36</v>
      </c>
      <c r="V117" s="31">
        <f t="shared" ca="1" si="32"/>
        <v>30</v>
      </c>
      <c r="W117" s="31">
        <f t="shared" ca="1" si="33"/>
        <v>14</v>
      </c>
      <c r="X117" s="64">
        <f t="shared" ca="1" si="34"/>
        <v>14</v>
      </c>
    </row>
    <row r="118" spans="1:24" x14ac:dyDescent="0.2">
      <c r="A118" s="138"/>
      <c r="B118" s="77" t="str">
        <f t="shared" ca="1" si="35"/>
        <v>rack1</v>
      </c>
      <c r="C118" s="25"/>
      <c r="D118" s="52" t="s">
        <v>250</v>
      </c>
      <c r="E118" s="27"/>
      <c r="F118" s="27"/>
      <c r="G118" s="55" t="str">
        <f t="shared" ca="1" si="36"/>
        <v>wagoRack</v>
      </c>
      <c r="H118" s="55" t="str">
        <f t="shared" ca="1" si="36"/>
        <v>node</v>
      </c>
      <c r="I118" s="24">
        <f ca="1">OFFSET(I118,-1,0)</f>
        <v>26</v>
      </c>
      <c r="J118" s="28">
        <v>3</v>
      </c>
      <c r="K118" s="28">
        <v>3</v>
      </c>
      <c r="L118" s="28">
        <v>4</v>
      </c>
      <c r="M118" s="28">
        <v>-32767</v>
      </c>
      <c r="N118" s="28">
        <v>32767</v>
      </c>
      <c r="O118" s="28">
        <v>-10</v>
      </c>
      <c r="P118" s="28">
        <v>10</v>
      </c>
      <c r="Q118" s="29" t="s">
        <v>248</v>
      </c>
      <c r="R118" s="29" t="s">
        <v>247</v>
      </c>
      <c r="S118" s="30">
        <v>4</v>
      </c>
      <c r="T118" s="31">
        <f t="shared" ca="1" si="30"/>
        <v>32</v>
      </c>
      <c r="U118" s="31">
        <f t="shared" ca="1" si="31"/>
        <v>36</v>
      </c>
      <c r="V118" s="31">
        <f t="shared" ca="1" si="32"/>
        <v>30</v>
      </c>
      <c r="W118" s="31">
        <f t="shared" ca="1" si="33"/>
        <v>15</v>
      </c>
      <c r="X118" s="64">
        <f t="shared" ca="1" si="34"/>
        <v>15</v>
      </c>
    </row>
    <row r="119" spans="1:24" ht="13.5" thickBot="1" x14ac:dyDescent="0.25">
      <c r="A119" s="139"/>
      <c r="B119" s="82" t="str">
        <f t="shared" ca="1" si="35"/>
        <v>rack1</v>
      </c>
      <c r="C119" s="33"/>
      <c r="D119" s="53" t="s">
        <v>250</v>
      </c>
      <c r="E119" s="35"/>
      <c r="F119" s="35"/>
      <c r="G119" s="58" t="str">
        <f t="shared" ca="1" si="36"/>
        <v>wagoRack</v>
      </c>
      <c r="H119" s="58" t="str">
        <f t="shared" ca="1" si="36"/>
        <v>node</v>
      </c>
      <c r="I119" s="32">
        <f ca="1">OFFSET(I119,-1,0)</f>
        <v>26</v>
      </c>
      <c r="J119" s="32">
        <v>4</v>
      </c>
      <c r="K119" s="45">
        <v>7</v>
      </c>
      <c r="L119" s="32">
        <v>8</v>
      </c>
      <c r="M119" s="32">
        <v>-32767</v>
      </c>
      <c r="N119" s="32">
        <v>32767</v>
      </c>
      <c r="O119" s="32">
        <v>-10</v>
      </c>
      <c r="P119" s="32">
        <v>10</v>
      </c>
      <c r="Q119" s="43" t="s">
        <v>248</v>
      </c>
      <c r="R119" s="43" t="s">
        <v>247</v>
      </c>
      <c r="S119" s="36">
        <v>4</v>
      </c>
      <c r="T119" s="37">
        <f t="shared" ca="1" si="30"/>
        <v>32</v>
      </c>
      <c r="U119" s="37">
        <f t="shared" ca="1" si="31"/>
        <v>36</v>
      </c>
      <c r="V119" s="37">
        <f t="shared" ca="1" si="32"/>
        <v>30</v>
      </c>
      <c r="W119" s="37">
        <f t="shared" ca="1" si="33"/>
        <v>16</v>
      </c>
      <c r="X119" s="65">
        <f t="shared" ca="1" si="34"/>
        <v>16</v>
      </c>
    </row>
    <row r="120" spans="1:24" ht="12.75" customHeight="1" x14ac:dyDescent="0.2">
      <c r="A120" s="140" t="s">
        <v>465</v>
      </c>
      <c r="B120" s="76" t="str">
        <f t="shared" ca="1" si="35"/>
        <v>rack1</v>
      </c>
      <c r="C120" s="38"/>
      <c r="D120" s="48" t="s">
        <v>453</v>
      </c>
      <c r="E120" s="27"/>
      <c r="F120" s="27"/>
      <c r="G120" s="55" t="str">
        <f t="shared" ca="1" si="36"/>
        <v>wagoRack</v>
      </c>
      <c r="H120" s="55" t="str">
        <f t="shared" ca="1" si="36"/>
        <v>node</v>
      </c>
      <c r="I120" s="24">
        <f t="shared" ref="I120" ca="1" si="38">OFFSET(I120,-1,0)+1</f>
        <v>27</v>
      </c>
      <c r="J120" s="40">
        <v>1</v>
      </c>
      <c r="K120" s="40"/>
      <c r="L120" s="40"/>
      <c r="M120" s="40">
        <v>0</v>
      </c>
      <c r="N120" s="40">
        <v>1</v>
      </c>
      <c r="O120" s="40">
        <v>0</v>
      </c>
      <c r="P120" s="40">
        <v>1</v>
      </c>
      <c r="Q120" s="44" t="s">
        <v>477</v>
      </c>
      <c r="R120" s="44" t="s">
        <v>247</v>
      </c>
      <c r="S120" s="41">
        <v>4</v>
      </c>
      <c r="T120" s="42">
        <f t="shared" ca="1" si="30"/>
        <v>32</v>
      </c>
      <c r="U120" s="42">
        <f t="shared" ca="1" si="31"/>
        <v>36</v>
      </c>
      <c r="V120" s="42">
        <f t="shared" ca="1" si="32"/>
        <v>30</v>
      </c>
      <c r="W120" s="42">
        <f t="shared" ca="1" si="33"/>
        <v>17</v>
      </c>
      <c r="X120" s="63">
        <f t="shared" ca="1" si="34"/>
        <v>17</v>
      </c>
    </row>
    <row r="121" spans="1:24" x14ac:dyDescent="0.2">
      <c r="A121" s="141"/>
      <c r="B121" s="77" t="str">
        <f t="shared" ca="1" si="35"/>
        <v>rack1</v>
      </c>
      <c r="C121" s="25"/>
      <c r="D121" s="50" t="s">
        <v>454</v>
      </c>
      <c r="E121" s="27"/>
      <c r="F121" s="27"/>
      <c r="G121" s="55" t="str">
        <f t="shared" ca="1" si="36"/>
        <v>wagoRack</v>
      </c>
      <c r="H121" s="55" t="str">
        <f t="shared" ca="1" si="36"/>
        <v>node</v>
      </c>
      <c r="I121" s="24">
        <f t="shared" ref="I121:I135" ca="1" si="39">OFFSET(I121,-1,0)</f>
        <v>27</v>
      </c>
      <c r="J121" s="28">
        <v>2</v>
      </c>
      <c r="K121" s="28">
        <v>1</v>
      </c>
      <c r="L121" s="28">
        <v>3</v>
      </c>
      <c r="M121" s="40">
        <v>0</v>
      </c>
      <c r="N121" s="40">
        <v>1000</v>
      </c>
      <c r="O121" s="28">
        <v>0</v>
      </c>
      <c r="P121" s="28">
        <v>2000</v>
      </c>
      <c r="Q121" s="29" t="s">
        <v>350</v>
      </c>
      <c r="R121" s="29" t="s">
        <v>247</v>
      </c>
      <c r="S121" s="30">
        <v>4</v>
      </c>
      <c r="T121" s="31">
        <f t="shared" ca="1" si="30"/>
        <v>32</v>
      </c>
      <c r="U121" s="31">
        <f t="shared" ca="1" si="31"/>
        <v>36</v>
      </c>
      <c r="V121" s="31">
        <f t="shared" ca="1" si="32"/>
        <v>30</v>
      </c>
      <c r="W121" s="31">
        <f t="shared" ca="1" si="33"/>
        <v>18</v>
      </c>
      <c r="X121" s="64">
        <f t="shared" ca="1" si="34"/>
        <v>18</v>
      </c>
    </row>
    <row r="122" spans="1:24" x14ac:dyDescent="0.2">
      <c r="A122" s="141"/>
      <c r="B122" s="77" t="str">
        <f t="shared" ca="1" si="35"/>
        <v>rack1</v>
      </c>
      <c r="C122" s="25"/>
      <c r="D122" s="50">
        <v>0</v>
      </c>
      <c r="E122" s="27"/>
      <c r="F122" s="27"/>
      <c r="G122" s="55" t="str">
        <f t="shared" ca="1" si="36"/>
        <v>wagoRack</v>
      </c>
      <c r="H122" s="55" t="str">
        <f t="shared" ca="1" si="36"/>
        <v>node</v>
      </c>
      <c r="I122" s="24">
        <f t="shared" ca="1" si="39"/>
        <v>27</v>
      </c>
      <c r="J122" s="28">
        <v>3</v>
      </c>
      <c r="K122" s="28"/>
      <c r="L122" s="28"/>
      <c r="M122" s="40"/>
      <c r="N122" s="40"/>
      <c r="O122" s="28"/>
      <c r="P122" s="28"/>
      <c r="Q122" s="29" t="s">
        <v>459</v>
      </c>
      <c r="R122" s="29" t="s">
        <v>247</v>
      </c>
      <c r="S122" s="30">
        <v>4</v>
      </c>
      <c r="T122" s="31">
        <f t="shared" ca="1" si="30"/>
        <v>32</v>
      </c>
      <c r="U122" s="31">
        <f t="shared" ca="1" si="31"/>
        <v>36</v>
      </c>
      <c r="V122" s="31">
        <f t="shared" ca="1" si="32"/>
        <v>30</v>
      </c>
      <c r="W122" s="31">
        <f t="shared" ca="1" si="33"/>
        <v>19</v>
      </c>
      <c r="X122" s="64">
        <f t="shared" ca="1" si="34"/>
        <v>19</v>
      </c>
    </row>
    <row r="123" spans="1:24" x14ac:dyDescent="0.2">
      <c r="A123" s="142"/>
      <c r="B123" s="98" t="str">
        <f t="shared" ca="1" si="35"/>
        <v>rack1</v>
      </c>
      <c r="C123" s="99"/>
      <c r="D123" s="100">
        <v>0</v>
      </c>
      <c r="E123" s="101"/>
      <c r="F123" s="101"/>
      <c r="G123" s="102" t="str">
        <f t="shared" ca="1" si="36"/>
        <v>wagoRack</v>
      </c>
      <c r="H123" s="102" t="str">
        <f t="shared" ca="1" si="36"/>
        <v>node</v>
      </c>
      <c r="I123" s="103">
        <f t="shared" ca="1" si="39"/>
        <v>27</v>
      </c>
      <c r="J123" s="103">
        <v>4</v>
      </c>
      <c r="K123" s="104"/>
      <c r="L123" s="103"/>
      <c r="M123" s="105"/>
      <c r="N123" s="105"/>
      <c r="O123" s="103"/>
      <c r="P123" s="103"/>
      <c r="Q123" s="106" t="s">
        <v>457</v>
      </c>
      <c r="R123" s="106" t="s">
        <v>247</v>
      </c>
      <c r="S123" s="107">
        <v>4</v>
      </c>
      <c r="T123" s="108">
        <f t="shared" ca="1" si="30"/>
        <v>32</v>
      </c>
      <c r="U123" s="108">
        <f t="shared" ca="1" si="31"/>
        <v>36</v>
      </c>
      <c r="V123" s="108">
        <f t="shared" ca="1" si="32"/>
        <v>30</v>
      </c>
      <c r="W123" s="108">
        <f t="shared" ca="1" si="33"/>
        <v>20</v>
      </c>
      <c r="X123" s="109">
        <f t="shared" ca="1" si="34"/>
        <v>20</v>
      </c>
    </row>
    <row r="124" spans="1:24" s="66" customFormat="1" ht="12.75" customHeight="1" x14ac:dyDescent="0.2">
      <c r="A124" s="143" t="s">
        <v>455</v>
      </c>
      <c r="B124" s="77" t="str">
        <f t="shared" ca="1" si="35"/>
        <v>rack1</v>
      </c>
      <c r="C124" s="38"/>
      <c r="D124" s="39">
        <v>0</v>
      </c>
      <c r="E124" s="27"/>
      <c r="F124" s="27"/>
      <c r="G124" s="55" t="str">
        <f t="shared" ca="1" si="36"/>
        <v>wagoRack</v>
      </c>
      <c r="H124" s="55" t="str">
        <f t="shared" ca="1" si="36"/>
        <v>node</v>
      </c>
      <c r="I124" s="24">
        <f t="shared" ca="1" si="39"/>
        <v>27</v>
      </c>
      <c r="J124" s="40">
        <v>5</v>
      </c>
      <c r="K124" s="40"/>
      <c r="L124" s="40"/>
      <c r="M124" s="40"/>
      <c r="N124" s="40"/>
      <c r="O124" s="40"/>
      <c r="P124" s="40"/>
      <c r="Q124" s="44" t="s">
        <v>458</v>
      </c>
      <c r="R124" s="44" t="s">
        <v>247</v>
      </c>
      <c r="S124" s="41">
        <v>3</v>
      </c>
      <c r="T124" s="42">
        <f t="shared" ca="1" si="30"/>
        <v>32</v>
      </c>
      <c r="U124" s="42">
        <f t="shared" ca="1" si="31"/>
        <v>36</v>
      </c>
      <c r="V124" s="42">
        <f t="shared" ca="1" si="32"/>
        <v>31</v>
      </c>
      <c r="W124" s="42">
        <f t="shared" ca="1" si="33"/>
        <v>20</v>
      </c>
      <c r="X124" s="63">
        <f t="shared" ca="1" si="34"/>
        <v>31</v>
      </c>
    </row>
    <row r="125" spans="1:24" s="66" customFormat="1" x14ac:dyDescent="0.2">
      <c r="A125" s="144"/>
      <c r="B125" s="77" t="str">
        <f t="shared" ca="1" si="35"/>
        <v>rack1</v>
      </c>
      <c r="C125" s="25"/>
      <c r="D125" s="26" t="s">
        <v>245</v>
      </c>
      <c r="E125" s="27"/>
      <c r="F125" s="27"/>
      <c r="G125" s="55" t="str">
        <f t="shared" ca="1" si="36"/>
        <v>wagoRack</v>
      </c>
      <c r="H125" s="55" t="str">
        <f t="shared" ca="1" si="36"/>
        <v>node</v>
      </c>
      <c r="I125" s="24">
        <f t="shared" ca="1" si="39"/>
        <v>27</v>
      </c>
      <c r="J125" s="28">
        <v>6</v>
      </c>
      <c r="K125" s="28"/>
      <c r="L125" s="28"/>
      <c r="M125" s="28">
        <v>-32767</v>
      </c>
      <c r="N125" s="28">
        <v>32767</v>
      </c>
      <c r="O125" s="28">
        <v>-32767</v>
      </c>
      <c r="P125" s="28">
        <v>32767</v>
      </c>
      <c r="Q125" s="29" t="s">
        <v>456</v>
      </c>
      <c r="R125" s="29" t="s">
        <v>247</v>
      </c>
      <c r="S125" s="30">
        <v>3</v>
      </c>
      <c r="T125" s="31">
        <f t="shared" ca="1" si="30"/>
        <v>32</v>
      </c>
      <c r="U125" s="31">
        <f t="shared" ca="1" si="31"/>
        <v>36</v>
      </c>
      <c r="V125" s="31">
        <f t="shared" ca="1" si="32"/>
        <v>32</v>
      </c>
      <c r="W125" s="31">
        <f t="shared" ca="1" si="33"/>
        <v>20</v>
      </c>
      <c r="X125" s="64">
        <f t="shared" ca="1" si="34"/>
        <v>32</v>
      </c>
    </row>
    <row r="126" spans="1:24" s="66" customFormat="1" x14ac:dyDescent="0.2">
      <c r="A126" s="144"/>
      <c r="B126" s="77" t="str">
        <f t="shared" ca="1" si="35"/>
        <v>rack1</v>
      </c>
      <c r="C126" s="25"/>
      <c r="D126" s="26">
        <v>0</v>
      </c>
      <c r="E126" s="27"/>
      <c r="F126" s="27"/>
      <c r="G126" s="55" t="str">
        <f t="shared" ca="1" si="36"/>
        <v>wagoRack</v>
      </c>
      <c r="H126" s="55" t="str">
        <f t="shared" ca="1" si="36"/>
        <v>node</v>
      </c>
      <c r="I126" s="24">
        <f t="shared" ca="1" si="39"/>
        <v>27</v>
      </c>
      <c r="J126" s="28">
        <v>7</v>
      </c>
      <c r="K126" s="28"/>
      <c r="L126" s="28"/>
      <c r="M126" s="28"/>
      <c r="N126" s="28"/>
      <c r="O126" s="28"/>
      <c r="P126" s="28"/>
      <c r="Q126" s="29" t="s">
        <v>458</v>
      </c>
      <c r="R126" s="29" t="s">
        <v>247</v>
      </c>
      <c r="S126" s="30">
        <v>3</v>
      </c>
      <c r="T126" s="31">
        <f t="shared" ca="1" si="30"/>
        <v>32</v>
      </c>
      <c r="U126" s="31">
        <f t="shared" ca="1" si="31"/>
        <v>36</v>
      </c>
      <c r="V126" s="31">
        <f t="shared" ca="1" si="32"/>
        <v>33</v>
      </c>
      <c r="W126" s="31">
        <f t="shared" ca="1" si="33"/>
        <v>20</v>
      </c>
      <c r="X126" s="64">
        <f t="shared" ca="1" si="34"/>
        <v>33</v>
      </c>
    </row>
    <row r="127" spans="1:24" s="66" customFormat="1" ht="13.5" thickBot="1" x14ac:dyDescent="0.25">
      <c r="A127" s="145"/>
      <c r="B127" s="83" t="str">
        <f t="shared" ca="1" si="35"/>
        <v>rack1</v>
      </c>
      <c r="C127" s="33"/>
      <c r="D127" s="34">
        <v>0</v>
      </c>
      <c r="E127" s="35"/>
      <c r="F127" s="35"/>
      <c r="G127" s="58" t="str">
        <f t="shared" ca="1" si="36"/>
        <v>wagoRack</v>
      </c>
      <c r="H127" s="58" t="str">
        <f t="shared" ca="1" si="36"/>
        <v>node</v>
      </c>
      <c r="I127" s="32">
        <f t="shared" ca="1" si="39"/>
        <v>27</v>
      </c>
      <c r="J127" s="32">
        <v>8</v>
      </c>
      <c r="K127" s="45"/>
      <c r="L127" s="32"/>
      <c r="M127" s="32"/>
      <c r="N127" s="32"/>
      <c r="O127" s="32"/>
      <c r="P127" s="32"/>
      <c r="Q127" s="43" t="s">
        <v>458</v>
      </c>
      <c r="R127" s="43" t="s">
        <v>247</v>
      </c>
      <c r="S127" s="36">
        <v>3</v>
      </c>
      <c r="T127" s="37">
        <f t="shared" ca="1" si="30"/>
        <v>32</v>
      </c>
      <c r="U127" s="37">
        <f t="shared" ca="1" si="31"/>
        <v>36</v>
      </c>
      <c r="V127" s="37">
        <f t="shared" ca="1" si="32"/>
        <v>34</v>
      </c>
      <c r="W127" s="37">
        <f t="shared" ca="1" si="33"/>
        <v>20</v>
      </c>
      <c r="X127" s="65">
        <f t="shared" ca="1" si="34"/>
        <v>34</v>
      </c>
    </row>
    <row r="128" spans="1:24" s="66" customFormat="1" ht="12.75" customHeight="1" x14ac:dyDescent="0.2">
      <c r="A128" s="140" t="s">
        <v>468</v>
      </c>
      <c r="B128" s="76" t="str">
        <f t="shared" ca="1" si="35"/>
        <v>rack1</v>
      </c>
      <c r="C128" s="38"/>
      <c r="D128" s="48" t="s">
        <v>469</v>
      </c>
      <c r="E128" s="27"/>
      <c r="F128" s="27"/>
      <c r="G128" s="55" t="str">
        <f t="shared" ca="1" si="36"/>
        <v>wagoRack</v>
      </c>
      <c r="H128" s="55" t="str">
        <f t="shared" ca="1" si="36"/>
        <v>node</v>
      </c>
      <c r="I128" s="24">
        <f t="shared" ref="I128" ca="1" si="40">OFFSET(I128,-1,0)+1</f>
        <v>28</v>
      </c>
      <c r="J128" s="40">
        <v>1</v>
      </c>
      <c r="K128" s="40"/>
      <c r="L128" s="40"/>
      <c r="M128" s="40">
        <v>0</v>
      </c>
      <c r="N128" s="40">
        <v>4</v>
      </c>
      <c r="O128" s="40">
        <v>0</v>
      </c>
      <c r="P128" s="40">
        <v>4</v>
      </c>
      <c r="Q128" s="44" t="s">
        <v>477</v>
      </c>
      <c r="R128" s="44" t="s">
        <v>247</v>
      </c>
      <c r="S128" s="41">
        <v>4</v>
      </c>
      <c r="T128" s="42">
        <f t="shared" ca="1" si="30"/>
        <v>32</v>
      </c>
      <c r="U128" s="42">
        <f t="shared" ca="1" si="31"/>
        <v>36</v>
      </c>
      <c r="V128" s="42">
        <f t="shared" ca="1" si="32"/>
        <v>34</v>
      </c>
      <c r="W128" s="42">
        <f t="shared" ca="1" si="33"/>
        <v>21</v>
      </c>
      <c r="X128" s="63">
        <f t="shared" ref="X128:X135" ca="1" si="41">IF(S128=0,T128,IF(S128=1,U128,IF(S128=3,V128,IF(S128=4,W128))))</f>
        <v>21</v>
      </c>
    </row>
    <row r="129" spans="1:24" s="66" customFormat="1" x14ac:dyDescent="0.2">
      <c r="A129" s="141"/>
      <c r="B129" s="77" t="str">
        <f t="shared" ca="1" si="35"/>
        <v>rack1</v>
      </c>
      <c r="C129" s="25"/>
      <c r="D129" s="50" t="s">
        <v>470</v>
      </c>
      <c r="E129" s="27"/>
      <c r="F129" s="27"/>
      <c r="G129" s="55" t="str">
        <f t="shared" ref="G129:H135" ca="1" si="42">TEXT(OFFSET(G129,-1,0),"")</f>
        <v>wagoRack</v>
      </c>
      <c r="H129" s="55" t="str">
        <f t="shared" ca="1" si="42"/>
        <v>node</v>
      </c>
      <c r="I129" s="24">
        <f t="shared" ca="1" si="39"/>
        <v>28</v>
      </c>
      <c r="J129" s="28">
        <v>2</v>
      </c>
      <c r="K129" s="28"/>
      <c r="L129" s="28"/>
      <c r="M129" s="40">
        <v>-32767</v>
      </c>
      <c r="N129" s="40">
        <v>32767</v>
      </c>
      <c r="O129" s="28">
        <v>-32767</v>
      </c>
      <c r="P129" s="28">
        <v>32767</v>
      </c>
      <c r="Q129" s="29" t="s">
        <v>475</v>
      </c>
      <c r="R129" s="29" t="s">
        <v>247</v>
      </c>
      <c r="S129" s="30">
        <v>4</v>
      </c>
      <c r="T129" s="31">
        <f t="shared" ca="1" si="30"/>
        <v>32</v>
      </c>
      <c r="U129" s="31">
        <f t="shared" ca="1" si="31"/>
        <v>36</v>
      </c>
      <c r="V129" s="31">
        <f t="shared" ca="1" si="32"/>
        <v>34</v>
      </c>
      <c r="W129" s="31">
        <f t="shared" ca="1" si="33"/>
        <v>22</v>
      </c>
      <c r="X129" s="64">
        <f t="shared" ca="1" si="41"/>
        <v>22</v>
      </c>
    </row>
    <row r="130" spans="1:24" s="66" customFormat="1" x14ac:dyDescent="0.2">
      <c r="A130" s="141"/>
      <c r="B130" s="77" t="str">
        <f t="shared" ca="1" si="35"/>
        <v>rack1</v>
      </c>
      <c r="C130" s="25"/>
      <c r="D130" s="50">
        <v>0</v>
      </c>
      <c r="E130" s="27"/>
      <c r="F130" s="27"/>
      <c r="G130" s="55" t="str">
        <f t="shared" ca="1" si="42"/>
        <v>wagoRack</v>
      </c>
      <c r="H130" s="55" t="str">
        <f t="shared" ca="1" si="42"/>
        <v>node</v>
      </c>
      <c r="I130" s="24">
        <f t="shared" ca="1" si="39"/>
        <v>28</v>
      </c>
      <c r="J130" s="28">
        <v>3</v>
      </c>
      <c r="K130" s="28"/>
      <c r="L130" s="28"/>
      <c r="M130" s="40"/>
      <c r="N130" s="40"/>
      <c r="O130" s="28"/>
      <c r="P130" s="28"/>
      <c r="Q130" s="29"/>
      <c r="R130" s="29" t="s">
        <v>247</v>
      </c>
      <c r="S130" s="30">
        <v>4</v>
      </c>
      <c r="T130" s="31">
        <f t="shared" ca="1" si="30"/>
        <v>32</v>
      </c>
      <c r="U130" s="31">
        <f t="shared" ca="1" si="31"/>
        <v>36</v>
      </c>
      <c r="V130" s="31">
        <f t="shared" ca="1" si="32"/>
        <v>34</v>
      </c>
      <c r="W130" s="31">
        <f t="shared" ca="1" si="33"/>
        <v>23</v>
      </c>
      <c r="X130" s="64">
        <f t="shared" ca="1" si="41"/>
        <v>23</v>
      </c>
    </row>
    <row r="131" spans="1:24" s="66" customFormat="1" x14ac:dyDescent="0.2">
      <c r="A131" s="142"/>
      <c r="B131" s="98" t="str">
        <f t="shared" ca="1" si="35"/>
        <v>rack1</v>
      </c>
      <c r="C131" s="99"/>
      <c r="D131" s="100">
        <v>0</v>
      </c>
      <c r="E131" s="101"/>
      <c r="F131" s="101"/>
      <c r="G131" s="102" t="str">
        <f t="shared" ca="1" si="42"/>
        <v>wagoRack</v>
      </c>
      <c r="H131" s="102" t="str">
        <f t="shared" ca="1" si="42"/>
        <v>node</v>
      </c>
      <c r="I131" s="103">
        <f t="shared" ca="1" si="39"/>
        <v>28</v>
      </c>
      <c r="J131" s="103">
        <v>4</v>
      </c>
      <c r="K131" s="104"/>
      <c r="L131" s="103"/>
      <c r="M131" s="105"/>
      <c r="N131" s="105"/>
      <c r="O131" s="103"/>
      <c r="P131" s="103"/>
      <c r="Q131" s="106" t="s">
        <v>457</v>
      </c>
      <c r="R131" s="106" t="s">
        <v>247</v>
      </c>
      <c r="S131" s="107">
        <v>4</v>
      </c>
      <c r="T131" s="108">
        <f t="shared" ca="1" si="30"/>
        <v>32</v>
      </c>
      <c r="U131" s="108">
        <f t="shared" ca="1" si="31"/>
        <v>36</v>
      </c>
      <c r="V131" s="108">
        <f t="shared" ca="1" si="32"/>
        <v>34</v>
      </c>
      <c r="W131" s="108">
        <f t="shared" ca="1" si="33"/>
        <v>24</v>
      </c>
      <c r="X131" s="109">
        <f t="shared" ca="1" si="41"/>
        <v>24</v>
      </c>
    </row>
    <row r="132" spans="1:24" s="66" customFormat="1" ht="12.75" customHeight="1" x14ac:dyDescent="0.2">
      <c r="A132" s="143" t="s">
        <v>480</v>
      </c>
      <c r="B132" s="77" t="str">
        <f t="shared" ca="1" si="35"/>
        <v>rack1</v>
      </c>
      <c r="C132" s="38" t="s">
        <v>471</v>
      </c>
      <c r="D132" s="39" t="s">
        <v>245</v>
      </c>
      <c r="E132" s="27"/>
      <c r="F132" s="27"/>
      <c r="G132" s="55" t="str">
        <f t="shared" ca="1" si="42"/>
        <v>wagoRack</v>
      </c>
      <c r="H132" s="55" t="str">
        <f t="shared" ca="1" si="42"/>
        <v>node</v>
      </c>
      <c r="I132" s="24">
        <f t="shared" ca="1" si="39"/>
        <v>28</v>
      </c>
      <c r="J132" s="40">
        <v>5</v>
      </c>
      <c r="K132" s="40"/>
      <c r="L132" s="40"/>
      <c r="M132" s="40"/>
      <c r="N132" s="40"/>
      <c r="O132" s="40"/>
      <c r="P132" s="40"/>
      <c r="Q132" s="44" t="s">
        <v>476</v>
      </c>
      <c r="R132" s="44" t="s">
        <v>247</v>
      </c>
      <c r="S132" s="41">
        <v>3</v>
      </c>
      <c r="T132" s="42">
        <f t="shared" ca="1" si="30"/>
        <v>32</v>
      </c>
      <c r="U132" s="42">
        <f t="shared" ca="1" si="31"/>
        <v>36</v>
      </c>
      <c r="V132" s="42">
        <f t="shared" ca="1" si="32"/>
        <v>35</v>
      </c>
      <c r="W132" s="42">
        <f t="shared" ca="1" si="33"/>
        <v>24</v>
      </c>
      <c r="X132" s="63">
        <f t="shared" ca="1" si="41"/>
        <v>35</v>
      </c>
    </row>
    <row r="133" spans="1:24" s="66" customFormat="1" x14ac:dyDescent="0.2">
      <c r="A133" s="144"/>
      <c r="B133" s="77" t="str">
        <f t="shared" ca="1" si="35"/>
        <v>rack1</v>
      </c>
      <c r="C133" s="25" t="s">
        <v>472</v>
      </c>
      <c r="D133" s="26" t="s">
        <v>245</v>
      </c>
      <c r="E133" s="27"/>
      <c r="F133" s="27"/>
      <c r="G133" s="55" t="str">
        <f t="shared" ca="1" si="42"/>
        <v>wagoRack</v>
      </c>
      <c r="H133" s="55" t="str">
        <f t="shared" ca="1" si="42"/>
        <v>node</v>
      </c>
      <c r="I133" s="24">
        <f t="shared" ca="1" si="39"/>
        <v>28</v>
      </c>
      <c r="J133" s="28">
        <v>6</v>
      </c>
      <c r="K133" s="28" t="s">
        <v>478</v>
      </c>
      <c r="L133" s="28" t="s">
        <v>479</v>
      </c>
      <c r="M133" s="28">
        <v>-32767</v>
      </c>
      <c r="N133" s="28">
        <v>32767</v>
      </c>
      <c r="O133" s="28">
        <v>-32767</v>
      </c>
      <c r="P133" s="28">
        <v>32767</v>
      </c>
      <c r="Q133" s="29" t="s">
        <v>475</v>
      </c>
      <c r="R133" s="29" t="s">
        <v>247</v>
      </c>
      <c r="S133" s="30">
        <v>3</v>
      </c>
      <c r="T133" s="31">
        <f t="shared" ca="1" si="30"/>
        <v>32</v>
      </c>
      <c r="U133" s="31">
        <f t="shared" ca="1" si="31"/>
        <v>36</v>
      </c>
      <c r="V133" s="31">
        <f t="shared" ca="1" si="32"/>
        <v>36</v>
      </c>
      <c r="W133" s="31">
        <f t="shared" ca="1" si="33"/>
        <v>24</v>
      </c>
      <c r="X133" s="64">
        <f t="shared" ca="1" si="41"/>
        <v>36</v>
      </c>
    </row>
    <row r="134" spans="1:24" s="66" customFormat="1" x14ac:dyDescent="0.2">
      <c r="A134" s="144"/>
      <c r="B134" s="77" t="str">
        <f t="shared" ca="1" si="35"/>
        <v>rack1</v>
      </c>
      <c r="C134" s="25" t="s">
        <v>473</v>
      </c>
      <c r="D134" s="26" t="s">
        <v>245</v>
      </c>
      <c r="E134" s="27"/>
      <c r="F134" s="27"/>
      <c r="G134" s="55" t="str">
        <f t="shared" ca="1" si="42"/>
        <v>wagoRack</v>
      </c>
      <c r="H134" s="55" t="str">
        <f t="shared" ca="1" si="42"/>
        <v>node</v>
      </c>
      <c r="I134" s="24">
        <f t="shared" ca="1" si="39"/>
        <v>28</v>
      </c>
      <c r="J134" s="28">
        <v>7</v>
      </c>
      <c r="K134" s="28"/>
      <c r="L134" s="28"/>
      <c r="M134" s="28">
        <v>-32767</v>
      </c>
      <c r="N134" s="28">
        <v>32767</v>
      </c>
      <c r="O134" s="28">
        <v>-32767</v>
      </c>
      <c r="P134" s="28">
        <v>32767</v>
      </c>
      <c r="Q134" s="29" t="s">
        <v>474</v>
      </c>
      <c r="R134" s="29" t="s">
        <v>247</v>
      </c>
      <c r="S134" s="30">
        <v>3</v>
      </c>
      <c r="T134" s="31">
        <f t="shared" ca="1" si="30"/>
        <v>32</v>
      </c>
      <c r="U134" s="31">
        <f t="shared" ca="1" si="31"/>
        <v>36</v>
      </c>
      <c r="V134" s="31">
        <f t="shared" ca="1" si="32"/>
        <v>37</v>
      </c>
      <c r="W134" s="31">
        <f t="shared" ca="1" si="33"/>
        <v>24</v>
      </c>
      <c r="X134" s="64">
        <f t="shared" ca="1" si="41"/>
        <v>37</v>
      </c>
    </row>
    <row r="135" spans="1:24" s="66" customFormat="1" ht="13.5" thickBot="1" x14ac:dyDescent="0.25">
      <c r="A135" s="145"/>
      <c r="B135" s="83" t="str">
        <f t="shared" ca="1" si="35"/>
        <v>rack1</v>
      </c>
      <c r="C135" s="33"/>
      <c r="D135" s="34">
        <v>0</v>
      </c>
      <c r="E135" s="35"/>
      <c r="F135" s="35"/>
      <c r="G135" s="58" t="str">
        <f t="shared" ca="1" si="42"/>
        <v>wagoRack</v>
      </c>
      <c r="H135" s="58" t="str">
        <f t="shared" ca="1" si="42"/>
        <v>node</v>
      </c>
      <c r="I135" s="32">
        <f t="shared" ca="1" si="39"/>
        <v>28</v>
      </c>
      <c r="J135" s="32">
        <v>8</v>
      </c>
      <c r="K135" s="45"/>
      <c r="L135" s="32"/>
      <c r="M135" s="32"/>
      <c r="N135" s="32"/>
      <c r="O135" s="32"/>
      <c r="P135" s="32"/>
      <c r="Q135" s="43" t="s">
        <v>458</v>
      </c>
      <c r="R135" s="43" t="s">
        <v>247</v>
      </c>
      <c r="S135" s="36">
        <v>3</v>
      </c>
      <c r="T135" s="37">
        <f t="shared" ca="1" si="30"/>
        <v>32</v>
      </c>
      <c r="U135" s="37">
        <f t="shared" ca="1" si="31"/>
        <v>36</v>
      </c>
      <c r="V135" s="37">
        <f t="shared" ca="1" si="32"/>
        <v>38</v>
      </c>
      <c r="W135" s="37">
        <f t="shared" ca="1" si="33"/>
        <v>24</v>
      </c>
      <c r="X135" s="65">
        <f t="shared" ca="1" si="41"/>
        <v>38</v>
      </c>
    </row>
  </sheetData>
  <dataConsolidate/>
  <mergeCells count="30">
    <mergeCell ref="A64:A67"/>
    <mergeCell ref="A68:A69"/>
    <mergeCell ref="A6:A9"/>
    <mergeCell ref="A18:A25"/>
    <mergeCell ref="A26:A41"/>
    <mergeCell ref="A50:A53"/>
    <mergeCell ref="A60:A63"/>
    <mergeCell ref="A54:A55"/>
    <mergeCell ref="A58:A59"/>
    <mergeCell ref="A42:A43"/>
    <mergeCell ref="A44:A45"/>
    <mergeCell ref="A46:A49"/>
    <mergeCell ref="A56:A57"/>
    <mergeCell ref="A10:A13"/>
    <mergeCell ref="A14:A17"/>
    <mergeCell ref="A128:A131"/>
    <mergeCell ref="A132:A135"/>
    <mergeCell ref="A70:A71"/>
    <mergeCell ref="A106:A107"/>
    <mergeCell ref="A76:A79"/>
    <mergeCell ref="A120:A123"/>
    <mergeCell ref="A72:A73"/>
    <mergeCell ref="A80:A87"/>
    <mergeCell ref="A88:A103"/>
    <mergeCell ref="A112:A115"/>
    <mergeCell ref="A116:A119"/>
    <mergeCell ref="A108:A111"/>
    <mergeCell ref="A74:A75"/>
    <mergeCell ref="A104:A105"/>
    <mergeCell ref="A124:A127"/>
  </mergeCells>
  <pageMargins left="0.7" right="0.7" top="0.75" bottom="0.75" header="0.3" footer="0.3"/>
  <pageSetup paperSize="9" scale="46"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4"/>
  <sheetViews>
    <sheetView zoomScale="90" zoomScaleNormal="90" workbookViewId="0">
      <selection activeCell="K3" sqref="K3"/>
    </sheetView>
  </sheetViews>
  <sheetFormatPr defaultColWidth="9.140625" defaultRowHeight="12.75" customHeight="1" x14ac:dyDescent="0.2"/>
  <cols>
    <col min="1" max="1" width="39.85546875" bestFit="1" customWidth="1"/>
    <col min="2" max="2" width="13.28515625" bestFit="1" customWidth="1"/>
    <col min="3" max="3" width="8.5703125" bestFit="1" customWidth="1"/>
    <col min="4" max="4" width="15.5703125" bestFit="1" customWidth="1"/>
    <col min="5" max="5" width="16.140625" bestFit="1" customWidth="1"/>
    <col min="6" max="6" width="17.5703125" bestFit="1" customWidth="1"/>
    <col min="7" max="7" width="19.42578125" bestFit="1" customWidth="1"/>
    <col min="8" max="8" width="16.85546875" bestFit="1" customWidth="1"/>
    <col min="9" max="9" width="19.85546875" bestFit="1" customWidth="1"/>
    <col min="10" max="10" width="13" bestFit="1" customWidth="1"/>
    <col min="11" max="11" width="12.28515625" bestFit="1" customWidth="1"/>
    <col min="12" max="12" width="12.140625" bestFit="1" customWidth="1"/>
    <col min="13" max="13" width="12.5703125" bestFit="1" customWidth="1"/>
    <col min="14" max="14" width="9" bestFit="1" customWidth="1"/>
    <col min="15" max="15" width="6.28515625" bestFit="1" customWidth="1"/>
    <col min="16" max="16" width="12.5703125" bestFit="1" customWidth="1"/>
    <col min="17" max="17" width="19.7109375" bestFit="1" customWidth="1"/>
  </cols>
  <sheetData>
    <row r="1" spans="1:13" s="66" customFormat="1" ht="12.75" customHeight="1" thickTop="1" x14ac:dyDescent="0.2">
      <c r="A1" s="147" t="s">
        <v>163</v>
      </c>
      <c r="B1" s="67" t="s">
        <v>10</v>
      </c>
      <c r="C1" s="67" t="s">
        <v>11</v>
      </c>
      <c r="D1" s="67" t="s">
        <v>6</v>
      </c>
      <c r="E1" s="67" t="s">
        <v>5</v>
      </c>
      <c r="F1" s="67" t="s">
        <v>4</v>
      </c>
      <c r="G1" s="67" t="s">
        <v>7</v>
      </c>
      <c r="H1" s="67" t="s">
        <v>8</v>
      </c>
      <c r="I1" s="67" t="s">
        <v>2</v>
      </c>
      <c r="J1" s="67" t="s">
        <v>90</v>
      </c>
      <c r="K1" s="67" t="s">
        <v>91</v>
      </c>
      <c r="L1" s="67" t="s">
        <v>92</v>
      </c>
      <c r="M1" s="12"/>
    </row>
    <row r="2" spans="1:13" s="66" customFormat="1" ht="12.75" customHeight="1" x14ac:dyDescent="0.2">
      <c r="A2" s="148"/>
      <c r="B2" s="69">
        <f ca="1">IF(OR(ISERROR(OFFSET(B2,-2,0)),ISBLANK(OFFSET(B2,-2,0))),1,OFFSET(B2,-2,0)+1)</f>
        <v>1</v>
      </c>
      <c r="C2" s="69" t="s">
        <v>12</v>
      </c>
      <c r="D2" s="69" t="s">
        <v>114</v>
      </c>
      <c r="E2" s="70" t="s">
        <v>323</v>
      </c>
      <c r="F2" s="70" t="b">
        <v>1</v>
      </c>
      <c r="G2" s="70">
        <v>1</v>
      </c>
      <c r="H2" s="70">
        <v>1</v>
      </c>
      <c r="I2" s="69" t="s">
        <v>94</v>
      </c>
      <c r="J2" s="70">
        <v>500</v>
      </c>
      <c r="K2" s="70" t="s">
        <v>683</v>
      </c>
      <c r="L2" s="70">
        <v>502</v>
      </c>
      <c r="M2" s="12"/>
    </row>
    <row r="3" spans="1:13" s="66" customFormat="1" ht="12.75" customHeight="1" x14ac:dyDescent="0.2">
      <c r="A3" s="149" t="s">
        <v>167</v>
      </c>
      <c r="B3" s="71" t="s">
        <v>10</v>
      </c>
      <c r="C3" s="71" t="s">
        <v>11</v>
      </c>
      <c r="D3" s="71" t="s">
        <v>105</v>
      </c>
      <c r="E3" s="71" t="s">
        <v>106</v>
      </c>
      <c r="F3" s="71" t="s">
        <v>117</v>
      </c>
      <c r="G3" s="71" t="s">
        <v>118</v>
      </c>
      <c r="H3" s="71" t="s">
        <v>119</v>
      </c>
      <c r="I3" s="71" t="s">
        <v>120</v>
      </c>
      <c r="J3" s="71" t="s">
        <v>121</v>
      </c>
      <c r="K3" s="71" t="s">
        <v>122</v>
      </c>
      <c r="L3" s="71" t="s">
        <v>123</v>
      </c>
      <c r="M3" s="71" t="s">
        <v>124</v>
      </c>
    </row>
    <row r="4" spans="1:13" s="66" customFormat="1" ht="12.75" customHeight="1" x14ac:dyDescent="0.2">
      <c r="A4" s="150"/>
      <c r="B4" s="69">
        <f ca="1">OFFSET(B4,-2,0)</f>
        <v>1</v>
      </c>
      <c r="C4" s="69" t="s">
        <v>161</v>
      </c>
      <c r="D4" s="70" t="s">
        <v>461</v>
      </c>
      <c r="E4" s="70">
        <v>1</v>
      </c>
      <c r="F4" s="70" t="b">
        <v>1</v>
      </c>
      <c r="G4" s="70">
        <v>500</v>
      </c>
      <c r="H4" s="70">
        <v>125</v>
      </c>
      <c r="I4" s="70">
        <v>125</v>
      </c>
      <c r="J4" s="70">
        <v>100</v>
      </c>
      <c r="K4" s="70">
        <v>2000</v>
      </c>
      <c r="L4" s="70">
        <v>2000</v>
      </c>
      <c r="M4" s="70">
        <v>800</v>
      </c>
    </row>
  </sheetData>
  <dataConsolidate/>
  <mergeCells count="2">
    <mergeCell ref="A1:A2"/>
    <mergeCell ref="A3:A4"/>
  </mergeCells>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262"/>
  <sheetViews>
    <sheetView zoomScale="85" zoomScaleNormal="85" workbookViewId="0">
      <selection activeCell="B25" sqref="A25:XFD26"/>
    </sheetView>
  </sheetViews>
  <sheetFormatPr defaultRowHeight="12.75" x14ac:dyDescent="0.2"/>
  <cols>
    <col min="1" max="1" width="48.140625" bestFit="1" customWidth="1"/>
    <col min="2" max="2" width="16.7109375" customWidth="1"/>
    <col min="3" max="3" width="8.42578125" customWidth="1"/>
    <col min="4" max="4" width="15" customWidth="1"/>
    <col min="5" max="5" width="18" customWidth="1"/>
    <col min="6" max="6" width="22.28515625" customWidth="1"/>
    <col min="7" max="7" width="25.5703125" bestFit="1" customWidth="1"/>
    <col min="8" max="8" width="21.7109375" customWidth="1"/>
    <col min="9" max="9" width="26.140625" customWidth="1"/>
    <col min="10" max="10" width="16.7109375" customWidth="1"/>
    <col min="11" max="12" width="16" customWidth="1"/>
    <col min="13" max="13" width="16.5703125" customWidth="1"/>
    <col min="14" max="14" width="12.140625" customWidth="1"/>
    <col min="15" max="15" width="9.28515625" customWidth="1"/>
    <col min="16" max="16" width="15.7109375" customWidth="1"/>
    <col min="17" max="17" width="24.85546875" bestFit="1" customWidth="1"/>
    <col min="18" max="18" width="20" bestFit="1" customWidth="1"/>
  </cols>
  <sheetData>
    <row r="1" spans="1:17" ht="14.1" customHeight="1" thickTop="1" x14ac:dyDescent="0.2">
      <c r="A1" s="147" t="s">
        <v>157</v>
      </c>
      <c r="B1" s="10" t="s">
        <v>10</v>
      </c>
      <c r="C1" s="10" t="s">
        <v>11</v>
      </c>
      <c r="D1" s="10" t="s">
        <v>6</v>
      </c>
      <c r="E1" s="10" t="s">
        <v>5</v>
      </c>
      <c r="F1" s="10" t="s">
        <v>4</v>
      </c>
      <c r="G1" s="10" t="s">
        <v>7</v>
      </c>
      <c r="H1" s="10" t="s">
        <v>8</v>
      </c>
      <c r="I1" s="10" t="s">
        <v>2</v>
      </c>
      <c r="J1" s="10" t="s">
        <v>90</v>
      </c>
      <c r="K1" s="10" t="s">
        <v>91</v>
      </c>
      <c r="L1" s="10" t="s">
        <v>92</v>
      </c>
      <c r="M1" s="11"/>
      <c r="N1" s="11"/>
      <c r="O1" s="11"/>
      <c r="P1" s="11"/>
      <c r="Q1" s="12"/>
    </row>
    <row r="2" spans="1:17" ht="14.1" customHeight="1" x14ac:dyDescent="0.2">
      <c r="A2" s="148"/>
      <c r="B2" s="13">
        <f ca="1">IF(OR(ISERROR(OFFSET(B2,-2,0)),ISBLANK(OFFSET(B2,-2,0))),1,OFFSET(B2,-2,0)+1)</f>
        <v>1</v>
      </c>
      <c r="C2" s="13" t="s">
        <v>12</v>
      </c>
      <c r="D2" s="13" t="s">
        <v>93</v>
      </c>
      <c r="E2" s="14" t="s">
        <v>320</v>
      </c>
      <c r="F2" s="14" t="b">
        <v>1</v>
      </c>
      <c r="G2" s="14">
        <v>1</v>
      </c>
      <c r="H2" s="14">
        <v>1</v>
      </c>
      <c r="I2" s="13" t="s">
        <v>94</v>
      </c>
      <c r="J2" s="14">
        <v>500</v>
      </c>
      <c r="K2" s="14" t="s">
        <v>95</v>
      </c>
      <c r="L2" s="14">
        <v>502</v>
      </c>
      <c r="M2" s="11"/>
      <c r="N2" s="11"/>
      <c r="O2" s="11"/>
      <c r="P2" s="11"/>
      <c r="Q2" s="12"/>
    </row>
    <row r="3" spans="1:17" ht="14.1" customHeight="1" thickBot="1" x14ac:dyDescent="0.25"/>
    <row r="4" spans="1:17" ht="14.1" customHeight="1" thickTop="1" x14ac:dyDescent="0.2">
      <c r="A4" s="147" t="s">
        <v>158</v>
      </c>
      <c r="B4" s="10" t="s">
        <v>10</v>
      </c>
      <c r="C4" s="10" t="s">
        <v>11</v>
      </c>
      <c r="D4" s="10" t="s">
        <v>6</v>
      </c>
      <c r="E4" s="10" t="s">
        <v>5</v>
      </c>
      <c r="F4" s="10" t="s">
        <v>4</v>
      </c>
      <c r="G4" s="67" t="s">
        <v>7</v>
      </c>
      <c r="H4" s="67" t="s">
        <v>8</v>
      </c>
      <c r="I4" s="10" t="s">
        <v>2</v>
      </c>
      <c r="J4" s="10" t="s">
        <v>90</v>
      </c>
      <c r="K4" s="10" t="s">
        <v>96</v>
      </c>
      <c r="L4" s="10" t="s">
        <v>97</v>
      </c>
      <c r="M4" s="10" t="s">
        <v>98</v>
      </c>
      <c r="N4" s="10" t="s">
        <v>99</v>
      </c>
      <c r="O4" s="10" t="s">
        <v>100</v>
      </c>
      <c r="P4" s="10" t="s">
        <v>101</v>
      </c>
      <c r="Q4" s="67" t="s">
        <v>115</v>
      </c>
    </row>
    <row r="5" spans="1:17" ht="14.1" customHeight="1" x14ac:dyDescent="0.2">
      <c r="A5" s="148"/>
      <c r="B5" s="13">
        <f ca="1">IF(OR(ISERROR(OFFSET(B5,-2,0)),ISBLANK(OFFSET(B5,-2,0))),1,OFFSET(B5,-2,0)+1)</f>
        <v>1</v>
      </c>
      <c r="C5" s="13" t="s">
        <v>12</v>
      </c>
      <c r="D5" s="13" t="s">
        <v>93</v>
      </c>
      <c r="E5" s="14" t="s">
        <v>321</v>
      </c>
      <c r="F5" s="14" t="b">
        <v>1</v>
      </c>
      <c r="G5" s="14">
        <v>1</v>
      </c>
      <c r="H5" s="14">
        <v>1</v>
      </c>
      <c r="I5" s="13" t="s">
        <v>102</v>
      </c>
      <c r="J5" s="14">
        <v>500</v>
      </c>
      <c r="K5" s="14">
        <v>1</v>
      </c>
      <c r="L5" s="14">
        <v>19200</v>
      </c>
      <c r="M5" s="14">
        <v>8</v>
      </c>
      <c r="N5" s="14">
        <v>1</v>
      </c>
      <c r="O5" s="14" t="s">
        <v>103</v>
      </c>
      <c r="P5" s="14" t="b">
        <v>0</v>
      </c>
      <c r="Q5" s="70">
        <v>100</v>
      </c>
    </row>
    <row r="6" spans="1:17" ht="14.1" customHeight="1" thickBot="1" x14ac:dyDescent="0.25">
      <c r="Q6" s="66"/>
    </row>
    <row r="7" spans="1:17" ht="14.1" customHeight="1" thickTop="1" x14ac:dyDescent="0.2">
      <c r="A7" s="147" t="s">
        <v>159</v>
      </c>
      <c r="B7" s="10" t="s">
        <v>10</v>
      </c>
      <c r="C7" s="10" t="s">
        <v>11</v>
      </c>
      <c r="D7" s="10" t="s">
        <v>6</v>
      </c>
      <c r="E7" s="10" t="s">
        <v>5</v>
      </c>
      <c r="F7" s="10" t="s">
        <v>4</v>
      </c>
      <c r="G7" s="10" t="s">
        <v>7</v>
      </c>
      <c r="H7" s="67" t="s">
        <v>8</v>
      </c>
      <c r="I7" s="10" t="s">
        <v>2</v>
      </c>
      <c r="J7" s="10" t="s">
        <v>90</v>
      </c>
      <c r="K7" s="10" t="s">
        <v>96</v>
      </c>
      <c r="L7" s="10" t="s">
        <v>97</v>
      </c>
      <c r="M7" s="10" t="s">
        <v>98</v>
      </c>
      <c r="N7" s="10" t="s">
        <v>99</v>
      </c>
      <c r="O7" s="10" t="s">
        <v>100</v>
      </c>
      <c r="P7" s="10" t="s">
        <v>101</v>
      </c>
      <c r="Q7" s="67" t="s">
        <v>115</v>
      </c>
    </row>
    <row r="8" spans="1:17" ht="14.1" customHeight="1" x14ac:dyDescent="0.2">
      <c r="A8" s="148"/>
      <c r="B8" s="13">
        <f ca="1">IF(OR(ISERROR(OFFSET(B8,-2,0)),ISBLANK(OFFSET(B8,-2,0))),1,OFFSET(B8,-2,0)+1)</f>
        <v>1</v>
      </c>
      <c r="C8" s="13" t="s">
        <v>12</v>
      </c>
      <c r="D8" s="13" t="s">
        <v>93</v>
      </c>
      <c r="E8" s="14" t="s">
        <v>322</v>
      </c>
      <c r="F8" s="14" t="b">
        <v>1</v>
      </c>
      <c r="G8" s="14">
        <v>1</v>
      </c>
      <c r="H8" s="14">
        <v>1</v>
      </c>
      <c r="I8" s="13" t="s">
        <v>104</v>
      </c>
      <c r="J8" s="14">
        <v>500</v>
      </c>
      <c r="K8" s="14">
        <v>1</v>
      </c>
      <c r="L8" s="14">
        <v>19200</v>
      </c>
      <c r="M8" s="13">
        <v>8</v>
      </c>
      <c r="N8" s="14">
        <v>1</v>
      </c>
      <c r="O8" s="14" t="s">
        <v>103</v>
      </c>
      <c r="P8" s="14" t="b">
        <v>0</v>
      </c>
      <c r="Q8" s="70">
        <v>100</v>
      </c>
    </row>
    <row r="9" spans="1:17" ht="14.1" customHeight="1" x14ac:dyDescent="0.2"/>
    <row r="10" spans="1:17" ht="14.1" customHeight="1" x14ac:dyDescent="0.2">
      <c r="A10" s="149" t="s">
        <v>160</v>
      </c>
      <c r="B10" s="15" t="s">
        <v>10</v>
      </c>
      <c r="C10" s="15" t="s">
        <v>11</v>
      </c>
      <c r="D10" s="15" t="s">
        <v>105</v>
      </c>
      <c r="E10" s="15" t="s">
        <v>106</v>
      </c>
      <c r="F10" s="15" t="s">
        <v>107</v>
      </c>
      <c r="G10" s="12"/>
      <c r="H10" s="12"/>
      <c r="I10" s="12"/>
      <c r="J10" s="12"/>
      <c r="K10" s="12"/>
      <c r="L10" s="12"/>
      <c r="M10" s="12"/>
      <c r="N10" s="12"/>
      <c r="O10" s="12"/>
      <c r="P10" s="12"/>
      <c r="Q10" s="12"/>
    </row>
    <row r="11" spans="1:17" ht="14.1" customHeight="1" x14ac:dyDescent="0.2">
      <c r="A11" s="150"/>
      <c r="B11" s="13">
        <f ca="1">OFFSET(B11,-2,0)</f>
        <v>0</v>
      </c>
      <c r="C11" s="13" t="s">
        <v>161</v>
      </c>
      <c r="D11" s="14" t="s">
        <v>461</v>
      </c>
      <c r="E11" s="14">
        <v>1</v>
      </c>
      <c r="F11" s="13" t="s">
        <v>108</v>
      </c>
      <c r="G11" s="12"/>
      <c r="H11" s="11"/>
      <c r="I11" s="11"/>
      <c r="J11" s="11"/>
      <c r="K11" s="11"/>
      <c r="L11" s="11"/>
      <c r="M11" s="11"/>
      <c r="N11" s="11"/>
      <c r="O11" s="11"/>
      <c r="P11" s="11"/>
      <c r="Q11" s="12"/>
    </row>
    <row r="12" spans="1:17" ht="14.1" customHeight="1" x14ac:dyDescent="0.2"/>
    <row r="13" spans="1:17" ht="14.1" customHeight="1" x14ac:dyDescent="0.2">
      <c r="A13" s="149" t="s">
        <v>162</v>
      </c>
      <c r="B13" s="15" t="s">
        <v>10</v>
      </c>
      <c r="C13" s="15" t="s">
        <v>11</v>
      </c>
      <c r="D13" s="15" t="s">
        <v>105</v>
      </c>
      <c r="E13" s="15" t="s">
        <v>106</v>
      </c>
      <c r="F13" s="15" t="s">
        <v>107</v>
      </c>
      <c r="G13" s="15" t="s">
        <v>109</v>
      </c>
      <c r="H13" s="15" t="s">
        <v>110</v>
      </c>
      <c r="I13" s="15" t="s">
        <v>111</v>
      </c>
      <c r="J13" s="15" t="s">
        <v>112</v>
      </c>
      <c r="K13" s="12"/>
      <c r="L13" s="12"/>
      <c r="M13" s="12"/>
      <c r="N13" s="12"/>
      <c r="O13" s="12"/>
      <c r="P13" s="12"/>
      <c r="Q13" s="12"/>
    </row>
    <row r="14" spans="1:17" ht="14.1" customHeight="1" x14ac:dyDescent="0.2">
      <c r="A14" s="150"/>
      <c r="B14" s="13">
        <f ca="1">OFFSET(B14,-2,0)</f>
        <v>0</v>
      </c>
      <c r="C14" s="13" t="s">
        <v>161</v>
      </c>
      <c r="D14" s="14" t="s">
        <v>461</v>
      </c>
      <c r="E14" s="14">
        <v>1</v>
      </c>
      <c r="F14" s="13" t="s">
        <v>113</v>
      </c>
      <c r="G14" s="14">
        <v>0</v>
      </c>
      <c r="H14" s="14">
        <v>0</v>
      </c>
      <c r="I14" s="14">
        <v>0</v>
      </c>
      <c r="J14" s="14">
        <v>0</v>
      </c>
      <c r="K14" s="11"/>
      <c r="L14" s="11"/>
      <c r="M14" s="11"/>
      <c r="N14" s="11"/>
      <c r="O14" s="11"/>
      <c r="P14" s="11"/>
      <c r="Q14" s="12"/>
    </row>
    <row r="15" spans="1:17" ht="14.1" customHeight="1" x14ac:dyDescent="0.2"/>
    <row r="16" spans="1:17" ht="14.1" hidden="1" customHeight="1" thickTop="1" x14ac:dyDescent="0.2">
      <c r="A16" s="147" t="s">
        <v>163</v>
      </c>
      <c r="B16" s="10" t="s">
        <v>10</v>
      </c>
      <c r="C16" s="10" t="s">
        <v>11</v>
      </c>
      <c r="D16" s="10" t="s">
        <v>6</v>
      </c>
      <c r="E16" s="10" t="s">
        <v>5</v>
      </c>
      <c r="F16" s="10" t="s">
        <v>4</v>
      </c>
      <c r="G16" s="67" t="s">
        <v>7</v>
      </c>
      <c r="H16" s="67" t="s">
        <v>8</v>
      </c>
      <c r="I16" s="10" t="s">
        <v>2</v>
      </c>
      <c r="J16" s="10" t="s">
        <v>90</v>
      </c>
      <c r="K16" s="10" t="s">
        <v>91</v>
      </c>
      <c r="L16" s="10" t="s">
        <v>92</v>
      </c>
      <c r="M16" s="12"/>
      <c r="N16" s="12"/>
      <c r="O16" s="12"/>
      <c r="P16" s="12"/>
      <c r="Q16" s="12"/>
    </row>
    <row r="17" spans="1:17" ht="14.1" hidden="1" customHeight="1" x14ac:dyDescent="0.2">
      <c r="A17" s="148"/>
      <c r="B17" s="13">
        <f ca="1">IF(OR(ISERROR(OFFSET(B17,-2,0)),ISBLANK(OFFSET(B17,-2,0))),1,OFFSET(B17,-2,0)+1)</f>
        <v>1</v>
      </c>
      <c r="C17" s="13" t="s">
        <v>12</v>
      </c>
      <c r="D17" s="13" t="s">
        <v>114</v>
      </c>
      <c r="E17" s="14" t="s">
        <v>323</v>
      </c>
      <c r="F17" s="14" t="b">
        <v>1</v>
      </c>
      <c r="G17" s="14">
        <v>1</v>
      </c>
      <c r="H17" s="14">
        <v>1</v>
      </c>
      <c r="I17" s="13" t="s">
        <v>94</v>
      </c>
      <c r="J17" s="14">
        <v>500</v>
      </c>
      <c r="K17" s="14" t="s">
        <v>95</v>
      </c>
      <c r="L17" s="14">
        <v>502</v>
      </c>
      <c r="M17" s="12"/>
      <c r="N17" s="12"/>
      <c r="O17" s="12"/>
      <c r="P17" s="12"/>
      <c r="Q17" s="12"/>
    </row>
    <row r="18" spans="1:17" ht="14.1" customHeight="1" thickBot="1" x14ac:dyDescent="0.25"/>
    <row r="19" spans="1:17" ht="14.1" customHeight="1" thickTop="1" x14ac:dyDescent="0.2">
      <c r="A19" s="147" t="s">
        <v>164</v>
      </c>
      <c r="B19" s="10" t="s">
        <v>10</v>
      </c>
      <c r="C19" s="10" t="s">
        <v>11</v>
      </c>
      <c r="D19" s="10" t="s">
        <v>6</v>
      </c>
      <c r="E19" s="10" t="s">
        <v>5</v>
      </c>
      <c r="F19" s="10" t="s">
        <v>4</v>
      </c>
      <c r="G19" s="67" t="s">
        <v>7</v>
      </c>
      <c r="H19" s="67" t="s">
        <v>8</v>
      </c>
      <c r="I19" s="10" t="s">
        <v>2</v>
      </c>
      <c r="J19" s="10" t="s">
        <v>90</v>
      </c>
      <c r="K19" s="10" t="s">
        <v>96</v>
      </c>
      <c r="L19" s="10" t="s">
        <v>97</v>
      </c>
      <c r="M19" s="10" t="s">
        <v>98</v>
      </c>
      <c r="N19" s="10" t="s">
        <v>99</v>
      </c>
      <c r="O19" s="10" t="s">
        <v>100</v>
      </c>
      <c r="P19" s="10" t="s">
        <v>101</v>
      </c>
      <c r="Q19" s="10" t="s">
        <v>115</v>
      </c>
    </row>
    <row r="20" spans="1:17" ht="14.1" customHeight="1" x14ac:dyDescent="0.2">
      <c r="A20" s="148"/>
      <c r="B20" s="13">
        <f ca="1">IF(OR(ISERROR(OFFSET(B20,-2,0)),ISBLANK(OFFSET(B20,-2,0))),1,OFFSET(B20,-2,0)+1)</f>
        <v>1</v>
      </c>
      <c r="C20" s="13" t="s">
        <v>12</v>
      </c>
      <c r="D20" s="13" t="s">
        <v>114</v>
      </c>
      <c r="E20" s="14" t="s">
        <v>324</v>
      </c>
      <c r="F20" s="14" t="b">
        <v>1</v>
      </c>
      <c r="G20" s="14">
        <v>1</v>
      </c>
      <c r="H20" s="14">
        <v>1</v>
      </c>
      <c r="I20" s="13" t="s">
        <v>102</v>
      </c>
      <c r="J20" s="14">
        <v>500</v>
      </c>
      <c r="K20" s="14">
        <v>1</v>
      </c>
      <c r="L20" s="14">
        <v>19200</v>
      </c>
      <c r="M20" s="14">
        <v>8</v>
      </c>
      <c r="N20" s="14">
        <v>1</v>
      </c>
      <c r="O20" s="14" t="s">
        <v>103</v>
      </c>
      <c r="P20" s="14" t="b">
        <v>0</v>
      </c>
      <c r="Q20" s="14">
        <v>100</v>
      </c>
    </row>
    <row r="21" spans="1:17" ht="14.1" customHeight="1" thickBot="1" x14ac:dyDescent="0.25"/>
    <row r="22" spans="1:17" ht="14.1" customHeight="1" thickTop="1" x14ac:dyDescent="0.2">
      <c r="A22" s="147" t="s">
        <v>165</v>
      </c>
      <c r="B22" s="10" t="s">
        <v>10</v>
      </c>
      <c r="C22" s="10" t="s">
        <v>11</v>
      </c>
      <c r="D22" s="10" t="s">
        <v>6</v>
      </c>
      <c r="E22" s="10" t="s">
        <v>5</v>
      </c>
      <c r="F22" s="10" t="s">
        <v>4</v>
      </c>
      <c r="G22" s="67" t="s">
        <v>7</v>
      </c>
      <c r="H22" s="67" t="s">
        <v>8</v>
      </c>
      <c r="I22" s="10" t="s">
        <v>2</v>
      </c>
      <c r="J22" s="10" t="s">
        <v>90</v>
      </c>
      <c r="K22" s="10" t="s">
        <v>96</v>
      </c>
      <c r="L22" s="10" t="s">
        <v>97</v>
      </c>
      <c r="M22" s="10" t="s">
        <v>98</v>
      </c>
      <c r="N22" s="10" t="s">
        <v>99</v>
      </c>
      <c r="O22" s="10" t="s">
        <v>100</v>
      </c>
      <c r="P22" s="10" t="s">
        <v>101</v>
      </c>
      <c r="Q22" s="10" t="s">
        <v>115</v>
      </c>
    </row>
    <row r="23" spans="1:17" ht="14.1" customHeight="1" x14ac:dyDescent="0.2">
      <c r="A23" s="148"/>
      <c r="B23" s="13">
        <f ca="1">IF(OR(ISERROR(OFFSET(B23,-2,0)),ISBLANK(OFFSET(B23,-2,0))),1,OFFSET(B23,-2,0)+1)</f>
        <v>1</v>
      </c>
      <c r="C23" s="13" t="s">
        <v>12</v>
      </c>
      <c r="D23" s="13" t="s">
        <v>114</v>
      </c>
      <c r="E23" s="14" t="s">
        <v>325</v>
      </c>
      <c r="F23" s="14" t="b">
        <v>1</v>
      </c>
      <c r="G23" s="14">
        <v>1</v>
      </c>
      <c r="H23" s="14">
        <v>1</v>
      </c>
      <c r="I23" s="13" t="s">
        <v>104</v>
      </c>
      <c r="J23" s="14">
        <v>500</v>
      </c>
      <c r="K23" s="14">
        <v>1</v>
      </c>
      <c r="L23" s="14">
        <v>19200</v>
      </c>
      <c r="M23" s="13">
        <v>8</v>
      </c>
      <c r="N23" s="14">
        <v>1</v>
      </c>
      <c r="O23" s="14" t="s">
        <v>103</v>
      </c>
      <c r="P23" s="14" t="b">
        <v>0</v>
      </c>
      <c r="Q23" s="14">
        <v>100</v>
      </c>
    </row>
    <row r="24" spans="1:17" ht="14.1" customHeight="1" thickBot="1" x14ac:dyDescent="0.25"/>
    <row r="25" spans="1:17" ht="14.1" customHeight="1" thickTop="1" x14ac:dyDescent="0.2">
      <c r="A25" s="151" t="s">
        <v>166</v>
      </c>
      <c r="B25" s="10" t="s">
        <v>10</v>
      </c>
      <c r="C25" s="10" t="s">
        <v>11</v>
      </c>
      <c r="D25" s="10" t="s">
        <v>6</v>
      </c>
      <c r="E25" s="10" t="s">
        <v>5</v>
      </c>
      <c r="F25" s="10" t="s">
        <v>4</v>
      </c>
      <c r="G25" s="67" t="s">
        <v>7</v>
      </c>
      <c r="H25" s="67" t="s">
        <v>8</v>
      </c>
      <c r="I25" s="10" t="s">
        <v>2</v>
      </c>
      <c r="J25" s="10" t="s">
        <v>90</v>
      </c>
      <c r="K25" s="10" t="s">
        <v>91</v>
      </c>
      <c r="L25" s="10" t="s">
        <v>92</v>
      </c>
      <c r="M25" s="12"/>
      <c r="N25" s="12"/>
      <c r="O25" s="12"/>
      <c r="P25" s="12"/>
      <c r="Q25" s="12"/>
    </row>
    <row r="26" spans="1:17" ht="14.1" customHeight="1" x14ac:dyDescent="0.2">
      <c r="A26" s="150"/>
      <c r="B26" s="13">
        <f ca="1">IF(OR(ISERROR(OFFSET(B26,-2,0)),ISBLANK(OFFSET(B26,-2,0))),1,OFFSET(B26,-2,0)+1)</f>
        <v>1</v>
      </c>
      <c r="C26" s="13" t="s">
        <v>12</v>
      </c>
      <c r="D26" s="13" t="s">
        <v>114</v>
      </c>
      <c r="E26" s="14" t="s">
        <v>326</v>
      </c>
      <c r="F26" s="14" t="b">
        <v>1</v>
      </c>
      <c r="G26" s="14">
        <v>1</v>
      </c>
      <c r="H26" s="14">
        <v>1</v>
      </c>
      <c r="I26" s="13" t="s">
        <v>116</v>
      </c>
      <c r="J26" s="14">
        <v>500</v>
      </c>
      <c r="K26" s="14" t="s">
        <v>95</v>
      </c>
      <c r="L26" s="14">
        <v>502</v>
      </c>
      <c r="M26" s="12"/>
      <c r="N26" s="12"/>
      <c r="O26" s="12"/>
      <c r="P26" s="12"/>
      <c r="Q26" s="12"/>
    </row>
    <row r="27" spans="1:17" ht="14.1" customHeight="1" x14ac:dyDescent="0.2"/>
    <row r="28" spans="1:17" ht="14.1" hidden="1" customHeight="1" x14ac:dyDescent="0.2">
      <c r="A28" s="149" t="s">
        <v>167</v>
      </c>
      <c r="B28" s="15" t="s">
        <v>10</v>
      </c>
      <c r="C28" s="15" t="s">
        <v>11</v>
      </c>
      <c r="D28" s="15" t="s">
        <v>105</v>
      </c>
      <c r="E28" s="15" t="s">
        <v>106</v>
      </c>
      <c r="F28" s="15" t="s">
        <v>117</v>
      </c>
      <c r="G28" s="15" t="s">
        <v>118</v>
      </c>
      <c r="H28" s="15" t="s">
        <v>119</v>
      </c>
      <c r="I28" s="15" t="s">
        <v>120</v>
      </c>
      <c r="J28" s="15" t="s">
        <v>121</v>
      </c>
      <c r="K28" s="15" t="s">
        <v>122</v>
      </c>
      <c r="L28" s="15" t="s">
        <v>123</v>
      </c>
      <c r="M28" s="15" t="s">
        <v>124</v>
      </c>
      <c r="N28" s="12"/>
      <c r="O28" s="12"/>
      <c r="P28" s="12"/>
      <c r="Q28" s="12"/>
    </row>
    <row r="29" spans="1:17" ht="14.1" hidden="1" customHeight="1" x14ac:dyDescent="0.2">
      <c r="A29" s="150"/>
      <c r="B29" s="13">
        <f ca="1">OFFSET(B29,-2,0)</f>
        <v>0</v>
      </c>
      <c r="C29" s="13" t="s">
        <v>161</v>
      </c>
      <c r="D29" s="14" t="s">
        <v>460</v>
      </c>
      <c r="E29" s="14">
        <v>1</v>
      </c>
      <c r="F29" s="14" t="b">
        <v>1</v>
      </c>
      <c r="G29" s="14">
        <v>50</v>
      </c>
      <c r="H29" s="14">
        <v>125</v>
      </c>
      <c r="I29" s="14">
        <v>125</v>
      </c>
      <c r="J29" s="14">
        <v>100</v>
      </c>
      <c r="K29" s="14">
        <v>2000</v>
      </c>
      <c r="L29" s="14">
        <v>2000</v>
      </c>
      <c r="M29" s="14">
        <v>800</v>
      </c>
      <c r="N29" s="11"/>
      <c r="O29" s="11"/>
      <c r="P29" s="11"/>
      <c r="Q29" s="12"/>
    </row>
    <row r="30" spans="1:17" ht="14.1" customHeight="1" thickBot="1" x14ac:dyDescent="0.25"/>
    <row r="31" spans="1:17" ht="14.1" customHeight="1" thickTop="1" x14ac:dyDescent="0.2">
      <c r="A31" s="147" t="s">
        <v>481</v>
      </c>
      <c r="B31" s="67" t="s">
        <v>10</v>
      </c>
      <c r="C31" s="67" t="s">
        <v>11</v>
      </c>
      <c r="D31" s="67" t="s">
        <v>6</v>
      </c>
      <c r="E31" s="67" t="s">
        <v>5</v>
      </c>
      <c r="F31" s="67" t="s">
        <v>4</v>
      </c>
      <c r="G31" s="67" t="s">
        <v>7</v>
      </c>
      <c r="H31" s="67" t="s">
        <v>8</v>
      </c>
      <c r="I31" s="67" t="s">
        <v>2</v>
      </c>
      <c r="J31" s="67" t="s">
        <v>90</v>
      </c>
      <c r="K31" s="67" t="s">
        <v>91</v>
      </c>
      <c r="L31" s="67" t="s">
        <v>92</v>
      </c>
    </row>
    <row r="32" spans="1:17" ht="14.1" customHeight="1" x14ac:dyDescent="0.2">
      <c r="A32" s="148"/>
      <c r="B32" s="69">
        <f ca="1">IF(OR(ISERROR(OFFSET(B32,-2,0)),ISBLANK(OFFSET(B32,-2,0))),1,OFFSET(B32,-2,0)+1)</f>
        <v>1</v>
      </c>
      <c r="C32" s="69" t="s">
        <v>12</v>
      </c>
      <c r="D32" s="69" t="s">
        <v>93</v>
      </c>
      <c r="E32" s="70" t="s">
        <v>482</v>
      </c>
      <c r="F32" s="70" t="b">
        <v>1</v>
      </c>
      <c r="G32" s="70">
        <v>1</v>
      </c>
      <c r="H32" s="70">
        <v>1</v>
      </c>
      <c r="I32" s="69" t="s">
        <v>273</v>
      </c>
      <c r="J32" s="70">
        <v>500</v>
      </c>
      <c r="K32" s="70" t="s">
        <v>95</v>
      </c>
      <c r="L32" s="70">
        <v>502</v>
      </c>
    </row>
    <row r="33" spans="1:17" ht="14.1" customHeight="1" x14ac:dyDescent="0.2">
      <c r="A33" s="149" t="s">
        <v>160</v>
      </c>
      <c r="B33" s="71" t="s">
        <v>10</v>
      </c>
      <c r="C33" s="71" t="s">
        <v>11</v>
      </c>
      <c r="D33" s="71" t="s">
        <v>105</v>
      </c>
      <c r="E33" s="71" t="s">
        <v>106</v>
      </c>
      <c r="F33" s="71" t="s">
        <v>107</v>
      </c>
    </row>
    <row r="34" spans="1:17" ht="14.1" customHeight="1" x14ac:dyDescent="0.2">
      <c r="A34" s="150"/>
      <c r="B34" s="69">
        <f ca="1">OFFSET(B34,-2,0)</f>
        <v>1</v>
      </c>
      <c r="C34" s="69" t="s">
        <v>161</v>
      </c>
      <c r="D34" s="70" t="s">
        <v>461</v>
      </c>
      <c r="E34" s="70">
        <v>1</v>
      </c>
      <c r="F34" s="69" t="s">
        <v>108</v>
      </c>
    </row>
    <row r="35" spans="1:17" ht="14.1" customHeight="1" x14ac:dyDescent="0.2"/>
    <row r="36" spans="1:17" ht="14.1" hidden="1" customHeight="1" thickTop="1" x14ac:dyDescent="0.2">
      <c r="A36" s="147" t="s">
        <v>168</v>
      </c>
      <c r="B36" s="10" t="s">
        <v>10</v>
      </c>
      <c r="C36" s="10" t="s">
        <v>11</v>
      </c>
      <c r="D36" s="10" t="s">
        <v>6</v>
      </c>
      <c r="E36" s="10" t="s">
        <v>5</v>
      </c>
      <c r="F36" s="10" t="s">
        <v>4</v>
      </c>
      <c r="G36" s="67" t="s">
        <v>7</v>
      </c>
      <c r="H36" s="67" t="s">
        <v>8</v>
      </c>
      <c r="I36" s="12"/>
      <c r="J36" s="12"/>
      <c r="K36" s="12"/>
      <c r="L36" s="12"/>
      <c r="M36" s="12"/>
      <c r="N36" s="12"/>
      <c r="O36" s="12"/>
      <c r="P36" s="12"/>
      <c r="Q36" s="12"/>
    </row>
    <row r="37" spans="1:17" ht="14.1" hidden="1" customHeight="1" x14ac:dyDescent="0.2">
      <c r="A37" s="148"/>
      <c r="B37" s="13">
        <f ca="1">IF(OR(ISERROR(OFFSET(B37,-2,0)),ISBLANK(OFFSET(B37,-2,0))),1,OFFSET(B37,-2,0)+1)</f>
        <v>1</v>
      </c>
      <c r="C37" s="13" t="s">
        <v>12</v>
      </c>
      <c r="D37" s="13" t="s">
        <v>125</v>
      </c>
      <c r="E37" s="14" t="s">
        <v>126</v>
      </c>
      <c r="F37" s="14" t="b">
        <v>1</v>
      </c>
      <c r="G37" s="14">
        <v>1</v>
      </c>
      <c r="H37" s="14">
        <v>1</v>
      </c>
      <c r="I37" s="12"/>
      <c r="J37" s="12"/>
      <c r="K37" s="12"/>
      <c r="L37" s="12"/>
      <c r="M37" s="12"/>
      <c r="N37" s="12"/>
      <c r="O37" s="12"/>
      <c r="P37" s="12"/>
      <c r="Q37" s="12"/>
    </row>
    <row r="38" spans="1:17" ht="14.1" customHeight="1" x14ac:dyDescent="0.2"/>
    <row r="39" spans="1:17" s="12" customFormat="1" ht="14.1" hidden="1" customHeight="1" thickTop="1" x14ac:dyDescent="0.2">
      <c r="A39" s="147" t="s">
        <v>206</v>
      </c>
      <c r="B39" s="10" t="s">
        <v>10</v>
      </c>
      <c r="C39" s="10" t="s">
        <v>11</v>
      </c>
      <c r="D39" s="10" t="s">
        <v>6</v>
      </c>
      <c r="E39" s="10" t="s">
        <v>5</v>
      </c>
      <c r="F39" s="10" t="s">
        <v>4</v>
      </c>
      <c r="G39" s="67" t="s">
        <v>7</v>
      </c>
      <c r="H39" s="67" t="s">
        <v>8</v>
      </c>
      <c r="I39" s="10" t="s">
        <v>13</v>
      </c>
      <c r="J39" s="10" t="s">
        <v>17</v>
      </c>
      <c r="K39" s="10" t="s">
        <v>14</v>
      </c>
      <c r="L39" s="10" t="s">
        <v>207</v>
      </c>
      <c r="M39" s="10" t="s">
        <v>208</v>
      </c>
    </row>
    <row r="40" spans="1:17" s="12" customFormat="1" ht="14.1" hidden="1" customHeight="1" x14ac:dyDescent="0.2">
      <c r="A40" s="148"/>
      <c r="B40" s="13">
        <v>1</v>
      </c>
      <c r="C40" s="13" t="s">
        <v>12</v>
      </c>
      <c r="D40" s="13" t="s">
        <v>206</v>
      </c>
      <c r="E40" s="14" t="s">
        <v>327</v>
      </c>
      <c r="F40" s="14" t="b">
        <v>1</v>
      </c>
      <c r="G40" s="14">
        <v>1</v>
      </c>
      <c r="H40" s="14">
        <v>1</v>
      </c>
      <c r="I40" s="95" t="s">
        <v>442</v>
      </c>
      <c r="J40" s="14" t="s">
        <v>441</v>
      </c>
      <c r="K40" s="14" t="b">
        <v>0</v>
      </c>
      <c r="L40" s="14" t="b">
        <v>0</v>
      </c>
      <c r="M40" s="14">
        <v>50</v>
      </c>
    </row>
    <row r="41" spans="1:17" ht="14.1" customHeight="1" x14ac:dyDescent="0.2">
      <c r="O41" s="12"/>
    </row>
    <row r="42" spans="1:17" ht="14.1" hidden="1" customHeight="1" thickTop="1" x14ac:dyDescent="0.2">
      <c r="A42" s="151" t="s">
        <v>169</v>
      </c>
      <c r="B42" s="10" t="s">
        <v>10</v>
      </c>
      <c r="C42" s="10" t="s">
        <v>11</v>
      </c>
      <c r="D42" s="10" t="s">
        <v>6</v>
      </c>
      <c r="E42" s="10" t="s">
        <v>5</v>
      </c>
      <c r="F42" s="10" t="s">
        <v>4</v>
      </c>
      <c r="G42" s="67" t="s">
        <v>7</v>
      </c>
      <c r="H42" s="67" t="s">
        <v>8</v>
      </c>
      <c r="I42" s="10" t="s">
        <v>127</v>
      </c>
      <c r="J42" s="10" t="s">
        <v>128</v>
      </c>
      <c r="K42" s="10" t="s">
        <v>129</v>
      </c>
      <c r="L42" s="10" t="s">
        <v>90</v>
      </c>
      <c r="M42" s="10" t="s">
        <v>130</v>
      </c>
      <c r="N42" s="10" t="s">
        <v>15</v>
      </c>
      <c r="O42" s="12"/>
      <c r="P42" s="12"/>
      <c r="Q42" s="12"/>
    </row>
    <row r="43" spans="1:17" ht="14.1" hidden="1" customHeight="1" x14ac:dyDescent="0.2">
      <c r="A43" s="150"/>
      <c r="B43" s="13">
        <f ca="1">IF(OR(ISERROR(OFFSET(B43,-2,0)),ISBLANK(OFFSET(B43,-2,0))),1,OFFSET(B43,-2,0)+1)</f>
        <v>1</v>
      </c>
      <c r="C43" s="13" t="s">
        <v>12</v>
      </c>
      <c r="D43" s="13" t="s">
        <v>131</v>
      </c>
      <c r="E43" s="14" t="s">
        <v>328</v>
      </c>
      <c r="F43" s="14" t="b">
        <v>1</v>
      </c>
      <c r="G43" s="14">
        <v>1</v>
      </c>
      <c r="H43" s="14">
        <v>1</v>
      </c>
      <c r="I43" s="14" t="s">
        <v>95</v>
      </c>
      <c r="J43" s="14" t="s">
        <v>95</v>
      </c>
      <c r="K43" s="14">
        <v>20000</v>
      </c>
      <c r="L43" s="14">
        <v>1000</v>
      </c>
      <c r="M43" s="14">
        <v>65507</v>
      </c>
      <c r="N43" s="13" t="s">
        <v>132</v>
      </c>
      <c r="O43" s="12"/>
      <c r="P43" s="12"/>
      <c r="Q43" s="12"/>
    </row>
    <row r="44" spans="1:17" ht="14.1" hidden="1" customHeight="1" thickBot="1" x14ac:dyDescent="0.25">
      <c r="O44" s="12"/>
    </row>
    <row r="45" spans="1:17" ht="14.1" hidden="1" customHeight="1" thickTop="1" x14ac:dyDescent="0.2">
      <c r="A45" s="151" t="s">
        <v>170</v>
      </c>
      <c r="B45" s="10" t="s">
        <v>10</v>
      </c>
      <c r="C45" s="10" t="s">
        <v>11</v>
      </c>
      <c r="D45" s="10" t="s">
        <v>6</v>
      </c>
      <c r="E45" s="10" t="s">
        <v>5</v>
      </c>
      <c r="F45" s="10" t="s">
        <v>4</v>
      </c>
      <c r="G45" s="67" t="s">
        <v>7</v>
      </c>
      <c r="H45" s="67" t="s">
        <v>8</v>
      </c>
      <c r="I45" s="10" t="s">
        <v>127</v>
      </c>
      <c r="J45" s="10" t="s">
        <v>128</v>
      </c>
      <c r="K45" s="10" t="s">
        <v>129</v>
      </c>
      <c r="L45" s="10" t="s">
        <v>90</v>
      </c>
      <c r="M45" s="10" t="s">
        <v>130</v>
      </c>
      <c r="N45" s="10" t="s">
        <v>15</v>
      </c>
      <c r="O45" s="12"/>
      <c r="P45" s="12"/>
      <c r="Q45" s="12"/>
    </row>
    <row r="46" spans="1:17" ht="14.1" hidden="1" customHeight="1" x14ac:dyDescent="0.2">
      <c r="A46" s="150"/>
      <c r="B46" s="13">
        <f ca="1">IF(OR(ISERROR(OFFSET(B46,-2,0)),ISBLANK(OFFSET(B46,-2,0))),1,OFFSET(B46,-2,0)+1)</f>
        <v>1</v>
      </c>
      <c r="C46" s="13" t="s">
        <v>12</v>
      </c>
      <c r="D46" s="13" t="s">
        <v>131</v>
      </c>
      <c r="E46" s="14" t="s">
        <v>329</v>
      </c>
      <c r="F46" s="14" t="b">
        <v>1</v>
      </c>
      <c r="G46" s="14">
        <v>1</v>
      </c>
      <c r="H46" s="14">
        <v>1</v>
      </c>
      <c r="I46" s="14" t="s">
        <v>95</v>
      </c>
      <c r="J46" s="14" t="s">
        <v>95</v>
      </c>
      <c r="K46" s="14">
        <v>20000</v>
      </c>
      <c r="L46" s="14">
        <v>1000</v>
      </c>
      <c r="M46" s="14">
        <v>65507</v>
      </c>
      <c r="N46" s="13" t="s">
        <v>133</v>
      </c>
      <c r="O46" s="12"/>
      <c r="P46" s="12"/>
      <c r="Q46" s="12"/>
    </row>
    <row r="47" spans="1:17" ht="14.1" customHeight="1" x14ac:dyDescent="0.2">
      <c r="O47" s="12"/>
    </row>
    <row r="48" spans="1:17" ht="14.1" hidden="1" customHeight="1" thickTop="1" x14ac:dyDescent="0.2">
      <c r="A48" s="151" t="s">
        <v>171</v>
      </c>
      <c r="B48" s="10" t="s">
        <v>10</v>
      </c>
      <c r="C48" s="10" t="s">
        <v>11</v>
      </c>
      <c r="D48" s="10" t="s">
        <v>6</v>
      </c>
      <c r="E48" s="10" t="s">
        <v>5</v>
      </c>
      <c r="F48" s="10" t="s">
        <v>4</v>
      </c>
      <c r="G48" s="67" t="s">
        <v>7</v>
      </c>
      <c r="H48" s="67" t="s">
        <v>8</v>
      </c>
      <c r="I48" s="10" t="s">
        <v>134</v>
      </c>
      <c r="J48" s="12"/>
      <c r="K48" s="12"/>
      <c r="L48" s="12"/>
      <c r="M48" s="12"/>
      <c r="N48" s="12"/>
      <c r="O48" s="12"/>
      <c r="P48" s="12"/>
      <c r="Q48" s="12"/>
    </row>
    <row r="49" spans="1:17" ht="14.1" hidden="1" customHeight="1" x14ac:dyDescent="0.2">
      <c r="A49" s="150"/>
      <c r="B49" s="13">
        <f ca="1">IF(OR(ISERROR(OFFSET(B49,-2,0)),ISBLANK(OFFSET(B49,-2,0))),1,OFFSET(B49,-2,0)+1)</f>
        <v>1</v>
      </c>
      <c r="C49" s="13" t="s">
        <v>12</v>
      </c>
      <c r="D49" s="13" t="s">
        <v>135</v>
      </c>
      <c r="E49" s="14" t="s">
        <v>330</v>
      </c>
      <c r="F49" s="14" t="b">
        <v>1</v>
      </c>
      <c r="G49" s="14">
        <v>1</v>
      </c>
      <c r="H49" s="14">
        <v>1</v>
      </c>
      <c r="I49" s="14">
        <v>20000</v>
      </c>
      <c r="J49" s="12"/>
      <c r="K49" s="12"/>
      <c r="L49" s="12"/>
      <c r="M49" s="12"/>
      <c r="N49" s="12"/>
      <c r="O49" s="12"/>
      <c r="P49" s="12"/>
      <c r="Q49" s="12"/>
    </row>
    <row r="50" spans="1:17" ht="14.1" hidden="1" customHeight="1" x14ac:dyDescent="0.2"/>
    <row r="51" spans="1:17" ht="14.1" hidden="1" customHeight="1" x14ac:dyDescent="0.2">
      <c r="A51" s="149" t="s">
        <v>172</v>
      </c>
      <c r="B51" s="15" t="s">
        <v>10</v>
      </c>
      <c r="C51" s="15" t="s">
        <v>11</v>
      </c>
      <c r="D51" s="15" t="s">
        <v>136</v>
      </c>
      <c r="E51" s="15" t="s">
        <v>137</v>
      </c>
      <c r="F51" s="15" t="s">
        <v>138</v>
      </c>
      <c r="G51" s="15" t="s">
        <v>139</v>
      </c>
      <c r="H51" s="15" t="s">
        <v>140</v>
      </c>
      <c r="I51" s="15" t="s">
        <v>141</v>
      </c>
      <c r="J51" s="12"/>
      <c r="K51" s="12"/>
      <c r="L51" s="12"/>
      <c r="M51" s="12"/>
      <c r="N51" s="12"/>
      <c r="O51" s="12"/>
      <c r="P51" s="12"/>
      <c r="Q51" s="12"/>
    </row>
    <row r="52" spans="1:17" ht="14.1" hidden="1" customHeight="1" x14ac:dyDescent="0.2">
      <c r="A52" s="150"/>
      <c r="B52" s="13">
        <f ca="1">OFFSET(B52,-2,0)</f>
        <v>0</v>
      </c>
      <c r="C52" s="13" t="s">
        <v>173</v>
      </c>
      <c r="D52" s="14" t="s">
        <v>331</v>
      </c>
      <c r="E52" s="14" t="s">
        <v>142</v>
      </c>
      <c r="F52" s="14">
        <v>0</v>
      </c>
      <c r="G52" s="14">
        <v>1</v>
      </c>
      <c r="H52" s="14">
        <v>0</v>
      </c>
      <c r="I52" s="14">
        <v>0</v>
      </c>
      <c r="J52" s="12"/>
      <c r="K52" s="12"/>
      <c r="L52" s="12"/>
      <c r="M52" s="12"/>
      <c r="N52" s="12"/>
      <c r="O52" s="12"/>
      <c r="P52" s="12"/>
      <c r="Q52" s="12"/>
    </row>
    <row r="53" spans="1:17" ht="14.1" customHeight="1" x14ac:dyDescent="0.2"/>
    <row r="54" spans="1:17" ht="14.1" hidden="1" customHeight="1" thickTop="1" x14ac:dyDescent="0.2">
      <c r="A54" s="147" t="s">
        <v>443</v>
      </c>
      <c r="B54" s="10" t="s">
        <v>10</v>
      </c>
      <c r="C54" s="10" t="s">
        <v>11</v>
      </c>
      <c r="D54" s="10" t="s">
        <v>6</v>
      </c>
      <c r="E54" s="10" t="s">
        <v>5</v>
      </c>
      <c r="F54" s="10" t="s">
        <v>4</v>
      </c>
      <c r="G54" s="67" t="s">
        <v>7</v>
      </c>
      <c r="H54" s="67" t="s">
        <v>8</v>
      </c>
      <c r="I54" s="10" t="s">
        <v>143</v>
      </c>
      <c r="J54" s="10" t="s">
        <v>144</v>
      </c>
      <c r="K54" s="12"/>
      <c r="L54" s="12"/>
      <c r="M54" s="12"/>
      <c r="N54" s="12"/>
      <c r="O54" s="12"/>
      <c r="P54" s="12"/>
      <c r="Q54" s="12"/>
    </row>
    <row r="55" spans="1:17" ht="14.1" hidden="1" customHeight="1" x14ac:dyDescent="0.2">
      <c r="A55" s="148"/>
      <c r="B55" s="13">
        <f ca="1">IF(OR(ISERROR(OFFSET(B55,-2,0)),ISBLANK(OFFSET(B55,-2,0))),1,OFFSET(B55,-2,0)+1)</f>
        <v>1</v>
      </c>
      <c r="C55" s="13" t="s">
        <v>12</v>
      </c>
      <c r="D55" s="13" t="s">
        <v>444</v>
      </c>
      <c r="E55" s="14" t="s">
        <v>145</v>
      </c>
      <c r="F55" s="14" t="b">
        <v>1</v>
      </c>
      <c r="G55" s="14">
        <v>1</v>
      </c>
      <c r="H55" s="14">
        <v>1</v>
      </c>
      <c r="I55" s="14" t="s">
        <v>146</v>
      </c>
      <c r="J55" s="14">
        <v>125</v>
      </c>
      <c r="K55" s="12"/>
      <c r="L55" s="12"/>
      <c r="M55" s="12"/>
      <c r="N55" s="12"/>
      <c r="O55" s="12"/>
      <c r="P55" s="12"/>
      <c r="Q55" s="12"/>
    </row>
    <row r="56" spans="1:17" ht="14.1" hidden="1" customHeight="1" x14ac:dyDescent="0.2"/>
    <row r="57" spans="1:17" ht="14.1" hidden="1" customHeight="1" x14ac:dyDescent="0.2">
      <c r="A57" s="149" t="s">
        <v>445</v>
      </c>
      <c r="B57" s="15" t="s">
        <v>10</v>
      </c>
      <c r="C57" s="15" t="s">
        <v>11</v>
      </c>
      <c r="D57" s="15" t="s">
        <v>147</v>
      </c>
      <c r="E57" s="15" t="s">
        <v>148</v>
      </c>
      <c r="F57" s="15" t="s">
        <v>149</v>
      </c>
      <c r="G57" s="15" t="s">
        <v>150</v>
      </c>
      <c r="H57" s="15" t="s">
        <v>151</v>
      </c>
      <c r="I57" s="15" t="s">
        <v>152</v>
      </c>
      <c r="J57" s="12"/>
      <c r="K57" s="12"/>
      <c r="L57" s="12"/>
      <c r="M57" s="12"/>
      <c r="N57" s="12"/>
      <c r="O57" s="12"/>
      <c r="P57" s="12"/>
      <c r="Q57" s="12"/>
    </row>
    <row r="58" spans="1:17" ht="14.1" hidden="1" customHeight="1" x14ac:dyDescent="0.2">
      <c r="A58" s="150"/>
      <c r="B58" s="13">
        <f ca="1">OFFSET(B58,-2,0)</f>
        <v>0</v>
      </c>
      <c r="C58" s="13" t="s">
        <v>174</v>
      </c>
      <c r="D58" s="14" t="s">
        <v>153</v>
      </c>
      <c r="E58" s="14" t="b">
        <v>0</v>
      </c>
      <c r="F58" s="14" t="s">
        <v>154</v>
      </c>
      <c r="G58" s="14">
        <v>8</v>
      </c>
      <c r="H58" s="14" t="b">
        <v>0</v>
      </c>
      <c r="I58" s="14">
        <v>20000</v>
      </c>
      <c r="J58" s="12"/>
      <c r="K58" s="12"/>
      <c r="L58" s="12"/>
      <c r="M58" s="12"/>
      <c r="N58" s="12"/>
      <c r="O58" s="12"/>
      <c r="P58" s="12"/>
      <c r="Q58" s="12"/>
    </row>
    <row r="59" spans="1:17" ht="14.1" hidden="1" customHeight="1" x14ac:dyDescent="0.2"/>
    <row r="60" spans="1:17" ht="14.1" hidden="1" customHeight="1" x14ac:dyDescent="0.2">
      <c r="A60" s="149" t="s">
        <v>446</v>
      </c>
      <c r="B60" s="15" t="s">
        <v>10</v>
      </c>
      <c r="C60" s="15" t="s">
        <v>11</v>
      </c>
      <c r="D60" s="15" t="s">
        <v>147</v>
      </c>
      <c r="E60" s="15" t="s">
        <v>148</v>
      </c>
      <c r="F60" s="15" t="s">
        <v>149</v>
      </c>
      <c r="G60" s="15" t="s">
        <v>150</v>
      </c>
      <c r="H60" s="12"/>
      <c r="I60" s="12"/>
      <c r="J60" s="12"/>
      <c r="K60" s="12"/>
      <c r="L60" s="12"/>
      <c r="M60" s="12"/>
      <c r="N60" s="12"/>
      <c r="O60" s="12"/>
      <c r="P60" s="12"/>
      <c r="Q60" s="12"/>
    </row>
    <row r="61" spans="1:17" ht="14.1" hidden="1" customHeight="1" x14ac:dyDescent="0.2">
      <c r="A61" s="150"/>
      <c r="B61" s="13">
        <f ca="1">OFFSET(B61,-2,0)</f>
        <v>0</v>
      </c>
      <c r="C61" s="13" t="s">
        <v>175</v>
      </c>
      <c r="D61" s="14" t="s">
        <v>155</v>
      </c>
      <c r="E61" s="14" t="b">
        <v>1</v>
      </c>
      <c r="F61" s="14" t="s">
        <v>156</v>
      </c>
      <c r="G61" s="14">
        <v>8</v>
      </c>
      <c r="H61" s="12"/>
      <c r="I61" s="12"/>
      <c r="J61" s="12"/>
      <c r="K61" s="12"/>
      <c r="L61" s="12"/>
      <c r="M61" s="12"/>
      <c r="N61" s="12"/>
      <c r="O61" s="12"/>
      <c r="P61" s="12"/>
      <c r="Q61" s="12"/>
    </row>
    <row r="62" spans="1:17" ht="14.1" customHeight="1" x14ac:dyDescent="0.2"/>
    <row r="63" spans="1:17" ht="14.1" hidden="1" customHeight="1" thickTop="1" x14ac:dyDescent="0.2">
      <c r="A63" s="147" t="s">
        <v>197</v>
      </c>
      <c r="B63" s="10" t="s">
        <v>10</v>
      </c>
      <c r="C63" s="10" t="s">
        <v>11</v>
      </c>
      <c r="D63" s="10" t="s">
        <v>6</v>
      </c>
      <c r="E63" s="10" t="s">
        <v>5</v>
      </c>
      <c r="F63" s="10" t="s">
        <v>4</v>
      </c>
      <c r="G63" s="67" t="s">
        <v>7</v>
      </c>
      <c r="H63" s="67" t="s">
        <v>8</v>
      </c>
      <c r="I63" s="10" t="s">
        <v>198</v>
      </c>
      <c r="J63" s="10" t="s">
        <v>199</v>
      </c>
      <c r="K63" s="10" t="s">
        <v>200</v>
      </c>
      <c r="L63" s="10" t="s">
        <v>201</v>
      </c>
      <c r="M63" s="10" t="s">
        <v>202</v>
      </c>
    </row>
    <row r="64" spans="1:17" ht="14.1" hidden="1" customHeight="1" x14ac:dyDescent="0.2">
      <c r="A64" s="148"/>
      <c r="B64" s="13">
        <f ca="1">IF(OR(ISERROR(OFFSET(B64,-2,0)),ISBLANK(OFFSET(B64,-2,0))),1,OFFSET(B64,-2,0)+1)</f>
        <v>1</v>
      </c>
      <c r="C64" s="13" t="s">
        <v>12</v>
      </c>
      <c r="D64" s="13" t="s">
        <v>203</v>
      </c>
      <c r="E64" s="14" t="s">
        <v>332</v>
      </c>
      <c r="F64" s="14" t="b">
        <v>1</v>
      </c>
      <c r="G64" s="14">
        <v>1</v>
      </c>
      <c r="H64" s="14">
        <v>1</v>
      </c>
      <c r="I64" s="14">
        <v>50</v>
      </c>
      <c r="J64" s="14" t="s">
        <v>95</v>
      </c>
      <c r="K64" s="14" t="s">
        <v>204</v>
      </c>
      <c r="L64" s="14" t="b">
        <v>1</v>
      </c>
      <c r="M64" s="14" t="b">
        <v>0</v>
      </c>
    </row>
    <row r="65" spans="1:19" ht="14.1" customHeight="1" x14ac:dyDescent="0.2"/>
    <row r="66" spans="1:19" s="12" customFormat="1" ht="14.1" hidden="1" customHeight="1" thickTop="1" x14ac:dyDescent="0.2">
      <c r="A66" s="147" t="s">
        <v>209</v>
      </c>
      <c r="B66" s="10" t="s">
        <v>10</v>
      </c>
      <c r="C66" s="10" t="s">
        <v>11</v>
      </c>
      <c r="D66" s="10" t="s">
        <v>6</v>
      </c>
      <c r="E66" s="10" t="s">
        <v>5</v>
      </c>
      <c r="F66" s="10" t="s">
        <v>4</v>
      </c>
      <c r="G66" s="67" t="s">
        <v>7</v>
      </c>
      <c r="H66" s="67" t="s">
        <v>8</v>
      </c>
      <c r="I66" s="10" t="s">
        <v>210</v>
      </c>
      <c r="J66" s="10" t="s">
        <v>211</v>
      </c>
      <c r="K66" s="10" t="s">
        <v>212</v>
      </c>
      <c r="L66" s="10" t="s">
        <v>213</v>
      </c>
      <c r="M66" s="10" t="s">
        <v>267</v>
      </c>
      <c r="N66" s="10" t="s">
        <v>214</v>
      </c>
      <c r="O66" s="10" t="s">
        <v>215</v>
      </c>
    </row>
    <row r="67" spans="1:19" s="12" customFormat="1" ht="14.1" hidden="1" customHeight="1" thickBot="1" x14ac:dyDescent="0.25">
      <c r="A67" s="148"/>
      <c r="B67" s="13">
        <v>1</v>
      </c>
      <c r="C67" s="13" t="s">
        <v>12</v>
      </c>
      <c r="D67" s="13" t="s">
        <v>216</v>
      </c>
      <c r="E67" s="14" t="s">
        <v>333</v>
      </c>
      <c r="F67" s="14" t="b">
        <v>1</v>
      </c>
      <c r="G67" s="14">
        <v>1</v>
      </c>
      <c r="H67" s="14">
        <v>1</v>
      </c>
      <c r="I67" s="14" t="s">
        <v>95</v>
      </c>
      <c r="J67" s="14">
        <v>20000</v>
      </c>
      <c r="K67" s="14">
        <v>5</v>
      </c>
      <c r="L67" s="14">
        <v>666</v>
      </c>
      <c r="M67" s="14">
        <v>10</v>
      </c>
      <c r="N67" s="14">
        <v>2000</v>
      </c>
      <c r="O67" s="14">
        <v>1</v>
      </c>
    </row>
    <row r="68" spans="1:19" s="12" customFormat="1" ht="14.1" hidden="1" customHeight="1" thickTop="1" x14ac:dyDescent="0.2">
      <c r="A68" s="147" t="s">
        <v>209</v>
      </c>
      <c r="B68" s="10" t="s">
        <v>10</v>
      </c>
      <c r="C68" s="10" t="s">
        <v>11</v>
      </c>
      <c r="D68" s="10" t="s">
        <v>6</v>
      </c>
      <c r="E68" s="10" t="s">
        <v>5</v>
      </c>
      <c r="F68" s="10" t="s">
        <v>4</v>
      </c>
      <c r="G68" s="67" t="s">
        <v>7</v>
      </c>
      <c r="H68" s="67" t="s">
        <v>8</v>
      </c>
      <c r="I68" s="10" t="s">
        <v>210</v>
      </c>
      <c r="J68" s="10" t="s">
        <v>211</v>
      </c>
      <c r="K68" s="10" t="s">
        <v>212</v>
      </c>
      <c r="L68" s="10" t="s">
        <v>213</v>
      </c>
      <c r="M68" s="10" t="s">
        <v>267</v>
      </c>
      <c r="N68" s="10" t="s">
        <v>214</v>
      </c>
      <c r="O68" s="10" t="s">
        <v>215</v>
      </c>
    </row>
    <row r="69" spans="1:19" s="12" customFormat="1" ht="14.1" hidden="1" customHeight="1" x14ac:dyDescent="0.2">
      <c r="A69" s="148"/>
      <c r="B69" s="13">
        <v>1</v>
      </c>
      <c r="C69" s="13" t="s">
        <v>12</v>
      </c>
      <c r="D69" s="13" t="s">
        <v>216</v>
      </c>
      <c r="E69" s="14" t="s">
        <v>334</v>
      </c>
      <c r="F69" s="14" t="b">
        <v>1</v>
      </c>
      <c r="G69" s="14">
        <v>1</v>
      </c>
      <c r="H69" s="14">
        <v>1</v>
      </c>
      <c r="I69" s="14" t="s">
        <v>228</v>
      </c>
      <c r="J69" s="14">
        <v>20000</v>
      </c>
      <c r="K69" s="14">
        <v>5</v>
      </c>
      <c r="L69" s="14">
        <v>777</v>
      </c>
      <c r="M69" s="14">
        <v>10</v>
      </c>
      <c r="N69" s="14">
        <v>2000</v>
      </c>
      <c r="O69" s="14">
        <v>1</v>
      </c>
    </row>
    <row r="70" spans="1:19" ht="14.1" customHeight="1" x14ac:dyDescent="0.2"/>
    <row r="71" spans="1:19" ht="14.1" hidden="1" customHeight="1" thickTop="1" x14ac:dyDescent="0.2">
      <c r="A71" s="147" t="s">
        <v>163</v>
      </c>
      <c r="B71" s="10" t="s">
        <v>10</v>
      </c>
      <c r="C71" s="10" t="s">
        <v>11</v>
      </c>
      <c r="D71" s="10" t="s">
        <v>6</v>
      </c>
      <c r="E71" s="10" t="s">
        <v>5</v>
      </c>
      <c r="F71" s="10" t="s">
        <v>4</v>
      </c>
      <c r="G71" s="67" t="s">
        <v>7</v>
      </c>
      <c r="H71" s="67" t="s">
        <v>8</v>
      </c>
      <c r="I71" s="10" t="s">
        <v>2</v>
      </c>
      <c r="J71" s="10" t="s">
        <v>90</v>
      </c>
      <c r="K71" s="10" t="s">
        <v>91</v>
      </c>
      <c r="L71" s="10" t="s">
        <v>92</v>
      </c>
      <c r="M71" s="12"/>
      <c r="N71" s="12"/>
      <c r="O71" s="12"/>
      <c r="P71" s="12"/>
      <c r="Q71" s="12"/>
    </row>
    <row r="72" spans="1:19" ht="14.1" hidden="1" customHeight="1" x14ac:dyDescent="0.2">
      <c r="A72" s="148"/>
      <c r="B72" s="13">
        <f ca="1">IF(OR(ISERROR(OFFSET(B72,-2,0)),ISBLANK(OFFSET(B72,-2,0))),1,OFFSET(B72,-2,0)+1)</f>
        <v>1</v>
      </c>
      <c r="C72" s="13" t="s">
        <v>12</v>
      </c>
      <c r="D72" s="13" t="s">
        <v>114</v>
      </c>
      <c r="E72" s="14" t="s">
        <v>462</v>
      </c>
      <c r="F72" s="14" t="b">
        <v>1</v>
      </c>
      <c r="G72" s="14">
        <v>1</v>
      </c>
      <c r="H72" s="14">
        <v>1</v>
      </c>
      <c r="I72" s="13" t="s">
        <v>94</v>
      </c>
      <c r="J72" s="14">
        <v>500</v>
      </c>
      <c r="K72" s="14" t="s">
        <v>95</v>
      </c>
      <c r="L72" s="14">
        <v>502</v>
      </c>
      <c r="M72" s="12"/>
      <c r="N72" s="12"/>
      <c r="O72" s="12"/>
      <c r="P72" s="12"/>
      <c r="Q72" s="12"/>
    </row>
    <row r="73" spans="1:19" ht="14.1" hidden="1" customHeight="1" x14ac:dyDescent="0.2">
      <c r="A73" s="149" t="s">
        <v>167</v>
      </c>
      <c r="B73" s="15" t="s">
        <v>10</v>
      </c>
      <c r="C73" s="15" t="s">
        <v>11</v>
      </c>
      <c r="D73" s="15" t="s">
        <v>105</v>
      </c>
      <c r="E73" s="15" t="s">
        <v>106</v>
      </c>
      <c r="F73" s="15" t="s">
        <v>117</v>
      </c>
      <c r="G73" s="15" t="s">
        <v>118</v>
      </c>
      <c r="H73" s="15" t="s">
        <v>119</v>
      </c>
      <c r="I73" s="15" t="s">
        <v>120</v>
      </c>
      <c r="J73" s="15" t="s">
        <v>121</v>
      </c>
      <c r="K73" s="15" t="s">
        <v>122</v>
      </c>
      <c r="L73" s="15" t="s">
        <v>123</v>
      </c>
      <c r="M73" s="15" t="s">
        <v>124</v>
      </c>
      <c r="N73" s="12"/>
      <c r="O73" s="12"/>
      <c r="P73" s="12"/>
      <c r="Q73" s="12"/>
    </row>
    <row r="74" spans="1:19" ht="14.1" hidden="1" customHeight="1" x14ac:dyDescent="0.2">
      <c r="A74" s="150"/>
      <c r="B74" s="13">
        <f ca="1">OFFSET(B74,-2,0)</f>
        <v>1</v>
      </c>
      <c r="C74" s="13" t="s">
        <v>161</v>
      </c>
      <c r="D74" s="14" t="s">
        <v>461</v>
      </c>
      <c r="E74" s="14">
        <v>1</v>
      </c>
      <c r="F74" s="14" t="b">
        <v>1</v>
      </c>
      <c r="G74" s="14">
        <v>50</v>
      </c>
      <c r="H74" s="14">
        <v>125</v>
      </c>
      <c r="I74" s="14">
        <v>125</v>
      </c>
      <c r="J74" s="14">
        <v>100</v>
      </c>
      <c r="K74" s="14">
        <v>2000</v>
      </c>
      <c r="L74" s="14">
        <v>2000</v>
      </c>
      <c r="M74" s="14">
        <v>800</v>
      </c>
      <c r="N74" s="11"/>
      <c r="O74" s="11"/>
      <c r="P74" s="11"/>
      <c r="Q74" s="12"/>
    </row>
    <row r="75" spans="1:19" ht="14.1" customHeight="1" x14ac:dyDescent="0.2"/>
    <row r="76" spans="1:19" ht="14.1" hidden="1" customHeight="1" thickTop="1" x14ac:dyDescent="0.2">
      <c r="A76" s="72" t="s">
        <v>268</v>
      </c>
      <c r="B76" s="67" t="s">
        <v>10</v>
      </c>
      <c r="C76" s="67" t="s">
        <v>11</v>
      </c>
      <c r="D76" s="67" t="s">
        <v>6</v>
      </c>
      <c r="E76" s="67" t="s">
        <v>5</v>
      </c>
      <c r="F76" s="67" t="s">
        <v>4</v>
      </c>
      <c r="G76" s="67" t="s">
        <v>7</v>
      </c>
      <c r="H76" s="67" t="s">
        <v>8</v>
      </c>
      <c r="I76" s="67" t="s">
        <v>2</v>
      </c>
      <c r="J76" s="67" t="s">
        <v>15</v>
      </c>
      <c r="K76" s="67" t="s">
        <v>90</v>
      </c>
      <c r="L76" s="67" t="s">
        <v>269</v>
      </c>
      <c r="M76" s="67" t="s">
        <v>270</v>
      </c>
      <c r="N76" s="67" t="s">
        <v>271</v>
      </c>
      <c r="O76" s="67" t="s">
        <v>272</v>
      </c>
      <c r="P76" s="67" t="s">
        <v>281</v>
      </c>
      <c r="Q76" s="67" t="s">
        <v>276</v>
      </c>
      <c r="R76" s="66"/>
      <c r="S76" s="66"/>
    </row>
    <row r="77" spans="1:19" ht="14.1" hidden="1" customHeight="1" x14ac:dyDescent="0.2">
      <c r="A77" s="74" t="s">
        <v>273</v>
      </c>
      <c r="B77" s="69">
        <v>1</v>
      </c>
      <c r="C77" s="69" t="s">
        <v>12</v>
      </c>
      <c r="D77" s="69" t="s">
        <v>285</v>
      </c>
      <c r="E77" s="70" t="s">
        <v>274</v>
      </c>
      <c r="F77" s="70" t="b">
        <v>1</v>
      </c>
      <c r="G77" s="70">
        <v>1</v>
      </c>
      <c r="H77" s="70">
        <v>1</v>
      </c>
      <c r="I77" s="69" t="s">
        <v>273</v>
      </c>
      <c r="J77" s="70" t="s">
        <v>275</v>
      </c>
      <c r="K77" s="70">
        <v>1000</v>
      </c>
      <c r="L77" s="70" t="b">
        <v>1</v>
      </c>
      <c r="M77" s="70" t="s">
        <v>95</v>
      </c>
      <c r="N77" s="70">
        <v>13000</v>
      </c>
      <c r="O77" s="70" t="s">
        <v>228</v>
      </c>
      <c r="P77" s="70">
        <v>6050</v>
      </c>
      <c r="Q77" s="70">
        <v>5000</v>
      </c>
      <c r="R77" s="66"/>
      <c r="S77" s="66"/>
    </row>
    <row r="78" spans="1:19" ht="14.1" hidden="1" customHeight="1" thickBot="1" x14ac:dyDescent="0.25">
      <c r="A78" s="66"/>
      <c r="B78" s="66"/>
      <c r="C78" s="66"/>
      <c r="D78" s="66"/>
      <c r="E78" s="66"/>
      <c r="F78" s="66"/>
      <c r="G78" s="66"/>
      <c r="H78" s="66"/>
      <c r="I78" s="66"/>
      <c r="J78" s="66"/>
      <c r="K78" s="66"/>
      <c r="L78" s="66"/>
      <c r="M78" s="66"/>
      <c r="N78" s="66"/>
      <c r="O78" s="66"/>
      <c r="P78" s="66"/>
      <c r="Q78" s="66"/>
      <c r="R78" s="66"/>
      <c r="S78" s="66"/>
    </row>
    <row r="79" spans="1:19" ht="14.1" hidden="1" customHeight="1" thickTop="1" x14ac:dyDescent="0.2">
      <c r="A79" s="72" t="s">
        <v>268</v>
      </c>
      <c r="B79" s="67" t="s">
        <v>10</v>
      </c>
      <c r="C79" s="67" t="s">
        <v>11</v>
      </c>
      <c r="D79" s="67" t="s">
        <v>6</v>
      </c>
      <c r="E79" s="67" t="s">
        <v>5</v>
      </c>
      <c r="F79" s="67" t="s">
        <v>4</v>
      </c>
      <c r="G79" s="67" t="s">
        <v>7</v>
      </c>
      <c r="H79" s="67" t="s">
        <v>8</v>
      </c>
      <c r="I79" s="67" t="s">
        <v>2</v>
      </c>
      <c r="J79" s="67" t="s">
        <v>15</v>
      </c>
      <c r="K79" s="67" t="s">
        <v>90</v>
      </c>
      <c r="L79" s="67" t="s">
        <v>96</v>
      </c>
      <c r="M79" s="67" t="s">
        <v>97</v>
      </c>
      <c r="N79" s="67" t="s">
        <v>98</v>
      </c>
      <c r="O79" s="67" t="s">
        <v>99</v>
      </c>
      <c r="P79" s="67" t="s">
        <v>100</v>
      </c>
      <c r="Q79" s="67" t="s">
        <v>101</v>
      </c>
      <c r="R79" s="67" t="s">
        <v>115</v>
      </c>
      <c r="S79" s="66"/>
    </row>
    <row r="80" spans="1:19" ht="14.1" hidden="1" customHeight="1" x14ac:dyDescent="0.2">
      <c r="A80" s="74" t="s">
        <v>277</v>
      </c>
      <c r="B80" s="69">
        <v>1</v>
      </c>
      <c r="C80" s="69" t="s">
        <v>12</v>
      </c>
      <c r="D80" s="69" t="s">
        <v>285</v>
      </c>
      <c r="E80" s="70" t="s">
        <v>452</v>
      </c>
      <c r="F80" s="70" t="b">
        <v>1</v>
      </c>
      <c r="G80" s="70">
        <v>1</v>
      </c>
      <c r="H80" s="70">
        <v>1</v>
      </c>
      <c r="I80" s="69" t="s">
        <v>277</v>
      </c>
      <c r="J80" s="70" t="s">
        <v>275</v>
      </c>
      <c r="K80" s="70">
        <v>1000</v>
      </c>
      <c r="L80" s="70">
        <v>1</v>
      </c>
      <c r="M80" s="70">
        <v>19200</v>
      </c>
      <c r="N80" s="70">
        <v>8</v>
      </c>
      <c r="O80" s="70">
        <v>1</v>
      </c>
      <c r="P80" s="70" t="s">
        <v>103</v>
      </c>
      <c r="Q80" s="70" t="b">
        <v>0</v>
      </c>
      <c r="R80" s="70">
        <v>20</v>
      </c>
      <c r="S80" s="66"/>
    </row>
    <row r="81" spans="1:18" ht="14.1" hidden="1" customHeight="1" x14ac:dyDescent="0.2"/>
    <row r="82" spans="1:18" ht="14.1" hidden="1" customHeight="1" x14ac:dyDescent="0.2">
      <c r="A82" s="73" t="s">
        <v>268</v>
      </c>
      <c r="B82" s="71" t="s">
        <v>10</v>
      </c>
      <c r="C82" s="71" t="s">
        <v>11</v>
      </c>
      <c r="D82" s="71" t="s">
        <v>278</v>
      </c>
      <c r="E82" s="71" t="s">
        <v>279</v>
      </c>
      <c r="F82" s="71" t="s">
        <v>282</v>
      </c>
      <c r="G82" s="66"/>
      <c r="H82" s="66"/>
      <c r="I82" s="66"/>
      <c r="J82" s="66"/>
      <c r="K82" s="66"/>
      <c r="L82" s="66"/>
      <c r="M82" s="66"/>
      <c r="N82" s="66"/>
      <c r="O82" s="66"/>
      <c r="P82" s="66"/>
      <c r="Q82" s="66"/>
      <c r="R82" s="66"/>
    </row>
    <row r="83" spans="1:18" ht="14.1" hidden="1" customHeight="1" x14ac:dyDescent="0.2">
      <c r="A83" s="69" t="s">
        <v>280</v>
      </c>
      <c r="B83" s="69">
        <v>1</v>
      </c>
      <c r="C83" s="69" t="s">
        <v>280</v>
      </c>
      <c r="D83" s="70" t="s">
        <v>283</v>
      </c>
      <c r="E83" s="70" t="s">
        <v>284</v>
      </c>
      <c r="F83" s="70">
        <v>1</v>
      </c>
      <c r="G83" s="68"/>
      <c r="H83" s="68"/>
      <c r="I83" s="66"/>
      <c r="J83" s="66"/>
      <c r="K83" s="66"/>
      <c r="L83" s="66"/>
      <c r="M83" s="66"/>
      <c r="N83" s="66"/>
      <c r="O83" s="66"/>
      <c r="P83" s="66"/>
      <c r="Q83" s="66"/>
      <c r="R83" s="66"/>
    </row>
    <row r="84" spans="1:18" ht="14.1" customHeight="1" x14ac:dyDescent="0.2"/>
    <row r="85" spans="1:18" s="66" customFormat="1" ht="14.1" hidden="1" customHeight="1" thickTop="1" x14ac:dyDescent="0.2">
      <c r="A85" s="147" t="s">
        <v>163</v>
      </c>
      <c r="B85" s="67" t="s">
        <v>10</v>
      </c>
      <c r="C85" s="67" t="s">
        <v>11</v>
      </c>
      <c r="D85" s="67" t="s">
        <v>6</v>
      </c>
      <c r="E85" s="67" t="s">
        <v>5</v>
      </c>
      <c r="F85" s="67" t="s">
        <v>4</v>
      </c>
      <c r="G85" s="67" t="s">
        <v>7</v>
      </c>
      <c r="H85" s="67" t="s">
        <v>8</v>
      </c>
      <c r="I85" s="67" t="s">
        <v>2</v>
      </c>
      <c r="J85" s="67" t="s">
        <v>90</v>
      </c>
      <c r="K85" s="67" t="s">
        <v>91</v>
      </c>
      <c r="L85" s="67" t="s">
        <v>92</v>
      </c>
      <c r="M85" s="12"/>
      <c r="N85" s="12"/>
      <c r="O85" s="12"/>
      <c r="P85" s="12"/>
      <c r="Q85" s="12"/>
    </row>
    <row r="86" spans="1:18" s="66" customFormat="1" ht="14.1" hidden="1" customHeight="1" x14ac:dyDescent="0.2">
      <c r="A86" s="148"/>
      <c r="B86" s="69">
        <f ca="1">IF(OR(ISERROR(OFFSET(B86,-2,0)),ISBLANK(OFFSET(B86,-2,0))),1,OFFSET(B86,-2,0)+1)</f>
        <v>1</v>
      </c>
      <c r="C86" s="69" t="s">
        <v>12</v>
      </c>
      <c r="D86" s="69" t="s">
        <v>114</v>
      </c>
      <c r="E86" s="70" t="s">
        <v>323</v>
      </c>
      <c r="F86" s="70" t="b">
        <v>1</v>
      </c>
      <c r="G86" s="70">
        <v>1</v>
      </c>
      <c r="H86" s="70">
        <v>1</v>
      </c>
      <c r="I86" s="69" t="s">
        <v>94</v>
      </c>
      <c r="J86" s="70">
        <v>500</v>
      </c>
      <c r="K86" s="70" t="s">
        <v>95</v>
      </c>
      <c r="L86" s="70">
        <v>502</v>
      </c>
      <c r="M86" s="12"/>
      <c r="N86" s="12"/>
      <c r="O86" s="12"/>
      <c r="P86" s="12"/>
      <c r="Q86" s="12"/>
    </row>
    <row r="87" spans="1:18" s="66" customFormat="1" ht="14.1" hidden="1" customHeight="1" x14ac:dyDescent="0.2">
      <c r="A87" s="149" t="s">
        <v>167</v>
      </c>
      <c r="B87" s="71" t="s">
        <v>10</v>
      </c>
      <c r="C87" s="71" t="s">
        <v>11</v>
      </c>
      <c r="D87" s="71" t="s">
        <v>105</v>
      </c>
      <c r="E87" s="71" t="s">
        <v>106</v>
      </c>
      <c r="F87" s="71" t="s">
        <v>117</v>
      </c>
      <c r="G87" s="71" t="s">
        <v>118</v>
      </c>
      <c r="H87" s="71" t="s">
        <v>119</v>
      </c>
      <c r="I87" s="71" t="s">
        <v>120</v>
      </c>
      <c r="J87" s="71" t="s">
        <v>121</v>
      </c>
      <c r="K87" s="71" t="s">
        <v>122</v>
      </c>
      <c r="L87" s="71" t="s">
        <v>123</v>
      </c>
      <c r="M87" s="71" t="s">
        <v>124</v>
      </c>
      <c r="N87" s="12"/>
      <c r="O87" s="12"/>
      <c r="P87" s="12"/>
      <c r="Q87" s="12"/>
    </row>
    <row r="88" spans="1:18" s="66" customFormat="1" ht="14.1" hidden="1" customHeight="1" x14ac:dyDescent="0.2">
      <c r="A88" s="150"/>
      <c r="B88" s="69">
        <f ca="1">OFFSET(B88,-2,0)</f>
        <v>1</v>
      </c>
      <c r="C88" s="69" t="s">
        <v>161</v>
      </c>
      <c r="D88" s="70" t="s">
        <v>461</v>
      </c>
      <c r="E88" s="70">
        <v>1</v>
      </c>
      <c r="F88" s="70" t="b">
        <v>1</v>
      </c>
      <c r="G88" s="70">
        <v>50</v>
      </c>
      <c r="H88" s="70">
        <v>125</v>
      </c>
      <c r="I88" s="70">
        <v>125</v>
      </c>
      <c r="J88" s="70">
        <v>100</v>
      </c>
      <c r="K88" s="70">
        <v>2000</v>
      </c>
      <c r="L88" s="70">
        <v>2000</v>
      </c>
      <c r="M88" s="70">
        <v>800</v>
      </c>
      <c r="N88" s="68"/>
      <c r="O88" s="68"/>
      <c r="P88" s="68"/>
      <c r="Q88" s="12"/>
    </row>
    <row r="89" spans="1:18" ht="14.1" customHeight="1" x14ac:dyDescent="0.2"/>
    <row r="90" spans="1:18" ht="14.1" hidden="1" customHeight="1" thickTop="1" x14ac:dyDescent="0.2">
      <c r="A90" s="151" t="s">
        <v>336</v>
      </c>
      <c r="B90" s="67" t="s">
        <v>10</v>
      </c>
      <c r="C90" s="67" t="s">
        <v>11</v>
      </c>
      <c r="D90" s="67" t="s">
        <v>6</v>
      </c>
      <c r="E90" s="67" t="s">
        <v>5</v>
      </c>
      <c r="F90" s="67" t="s">
        <v>4</v>
      </c>
      <c r="G90" s="67" t="s">
        <v>7</v>
      </c>
      <c r="H90" s="67" t="s">
        <v>8</v>
      </c>
    </row>
    <row r="91" spans="1:18" ht="14.1" hidden="1" customHeight="1" x14ac:dyDescent="0.2">
      <c r="A91" s="150"/>
      <c r="B91" s="69">
        <f ca="1">IF(OR(ISERROR(OFFSET(B91,-2,0)),ISBLANK(OFFSET(B91,-2,0))),1,OFFSET(B91,-2,0)+1)</f>
        <v>1</v>
      </c>
      <c r="C91" s="69" t="s">
        <v>12</v>
      </c>
      <c r="D91" s="69" t="s">
        <v>337</v>
      </c>
      <c r="E91" s="70" t="s">
        <v>338</v>
      </c>
      <c r="F91" s="70" t="b">
        <v>1</v>
      </c>
      <c r="G91" s="70">
        <v>5</v>
      </c>
      <c r="H91" s="70">
        <v>5</v>
      </c>
    </row>
    <row r="92" spans="1:18" ht="14.1" hidden="1" customHeight="1" x14ac:dyDescent="0.2">
      <c r="A92" s="149" t="s">
        <v>339</v>
      </c>
      <c r="B92" s="71" t="s">
        <v>10</v>
      </c>
      <c r="C92" s="71" t="s">
        <v>11</v>
      </c>
      <c r="D92" s="71" t="s">
        <v>340</v>
      </c>
      <c r="E92" s="71" t="s">
        <v>341</v>
      </c>
      <c r="F92" s="71" t="s">
        <v>342</v>
      </c>
      <c r="G92" s="12"/>
      <c r="H92" s="12"/>
    </row>
    <row r="93" spans="1:18" ht="14.1" hidden="1" customHeight="1" x14ac:dyDescent="0.2">
      <c r="A93" s="150"/>
      <c r="B93" s="69">
        <f ca="1">OFFSET(B93,-2,0)</f>
        <v>1</v>
      </c>
      <c r="C93" s="69" t="s">
        <v>137</v>
      </c>
      <c r="D93" s="70" t="s">
        <v>343</v>
      </c>
      <c r="E93" s="70" t="s">
        <v>344</v>
      </c>
      <c r="F93" s="70">
        <v>100</v>
      </c>
      <c r="G93" s="12"/>
      <c r="H93" s="12"/>
    </row>
    <row r="94" spans="1:18" ht="14.1" customHeight="1" thickBot="1" x14ac:dyDescent="0.25"/>
    <row r="95" spans="1:18" ht="14.1" customHeight="1" thickTop="1" x14ac:dyDescent="0.2">
      <c r="A95" s="151" t="s">
        <v>347</v>
      </c>
      <c r="B95" s="67" t="s">
        <v>10</v>
      </c>
      <c r="C95" s="67" t="s">
        <v>11</v>
      </c>
      <c r="D95" s="67" t="s">
        <v>6</v>
      </c>
      <c r="E95" s="67" t="s">
        <v>5</v>
      </c>
      <c r="F95" s="67" t="s">
        <v>4</v>
      </c>
      <c r="G95" s="67" t="s">
        <v>7</v>
      </c>
      <c r="H95" s="67" t="s">
        <v>8</v>
      </c>
      <c r="I95" s="67" t="s">
        <v>127</v>
      </c>
      <c r="J95" s="67" t="s">
        <v>128</v>
      </c>
      <c r="K95" s="67" t="s">
        <v>129</v>
      </c>
      <c r="L95" s="67" t="s">
        <v>90</v>
      </c>
      <c r="M95" s="67" t="s">
        <v>130</v>
      </c>
      <c r="N95" s="67" t="s">
        <v>335</v>
      </c>
    </row>
    <row r="96" spans="1:18" ht="14.1" customHeight="1" x14ac:dyDescent="0.2">
      <c r="A96" s="150"/>
      <c r="B96" s="69">
        <f ca="1">IF(OR(ISERROR(OFFSET(B96,-2,0)),ISBLANK(OFFSET(B96,-2,0))),1,OFFSET(B96,-2,0)+1)</f>
        <v>1</v>
      </c>
      <c r="C96" s="69" t="s">
        <v>12</v>
      </c>
      <c r="D96" s="69" t="s">
        <v>131</v>
      </c>
      <c r="E96" s="70" t="s">
        <v>348</v>
      </c>
      <c r="F96" s="70" t="b">
        <v>1</v>
      </c>
      <c r="G96" s="70">
        <v>1</v>
      </c>
      <c r="H96" s="70">
        <v>1</v>
      </c>
      <c r="I96" s="70" t="s">
        <v>95</v>
      </c>
      <c r="J96" s="70" t="s">
        <v>95</v>
      </c>
      <c r="K96" s="70">
        <v>1025</v>
      </c>
      <c r="L96" s="70">
        <v>1000</v>
      </c>
      <c r="M96" s="70">
        <v>65507</v>
      </c>
      <c r="N96" s="70" t="s">
        <v>349</v>
      </c>
    </row>
    <row r="97" spans="1:14" ht="14.1" customHeight="1" x14ac:dyDescent="0.2"/>
    <row r="98" spans="1:14" ht="14.1" hidden="1" customHeight="1" thickTop="1" x14ac:dyDescent="0.2">
      <c r="A98" s="151" t="s">
        <v>347</v>
      </c>
      <c r="B98" s="67" t="s">
        <v>10</v>
      </c>
      <c r="C98" s="67" t="s">
        <v>11</v>
      </c>
      <c r="D98" s="67" t="s">
        <v>6</v>
      </c>
      <c r="E98" s="67" t="s">
        <v>5</v>
      </c>
      <c r="F98" s="67" t="s">
        <v>4</v>
      </c>
      <c r="G98" s="67" t="s">
        <v>7</v>
      </c>
      <c r="H98" s="67" t="s">
        <v>8</v>
      </c>
      <c r="I98" s="67" t="s">
        <v>127</v>
      </c>
      <c r="J98" s="67" t="s">
        <v>128</v>
      </c>
      <c r="K98" s="67" t="s">
        <v>129</v>
      </c>
      <c r="L98" s="67" t="s">
        <v>90</v>
      </c>
      <c r="M98" s="67" t="s">
        <v>130</v>
      </c>
      <c r="N98" s="67" t="s">
        <v>335</v>
      </c>
    </row>
    <row r="99" spans="1:14" ht="14.1" hidden="1" customHeight="1" x14ac:dyDescent="0.2">
      <c r="A99" s="150"/>
      <c r="B99" s="69">
        <f ca="1">IF(OR(ISERROR(OFFSET(B99,-2,0)),ISBLANK(OFFSET(B99,-2,0))),1,OFFSET(B99,-2,0)+1)</f>
        <v>1</v>
      </c>
      <c r="C99" s="69" t="s">
        <v>12</v>
      </c>
      <c r="D99" s="69" t="s">
        <v>131</v>
      </c>
      <c r="E99" s="70" t="s">
        <v>405</v>
      </c>
      <c r="F99" s="70" t="b">
        <v>1</v>
      </c>
      <c r="G99" s="70">
        <v>1</v>
      </c>
      <c r="H99" s="70">
        <v>1</v>
      </c>
      <c r="I99" s="70" t="s">
        <v>95</v>
      </c>
      <c r="J99" s="70" t="s">
        <v>95</v>
      </c>
      <c r="K99" s="70">
        <v>1025</v>
      </c>
      <c r="L99" s="70">
        <v>1000</v>
      </c>
      <c r="M99" s="70">
        <v>65507</v>
      </c>
      <c r="N99" s="70" t="s">
        <v>349</v>
      </c>
    </row>
    <row r="100" spans="1:14" ht="14.1" customHeight="1" x14ac:dyDescent="0.2"/>
    <row r="101" spans="1:14" ht="14.1" customHeight="1" x14ac:dyDescent="0.2"/>
    <row r="102" spans="1:14" ht="14.1" customHeight="1" x14ac:dyDescent="0.2"/>
    <row r="103" spans="1:14" ht="14.1" customHeight="1" x14ac:dyDescent="0.2"/>
    <row r="104" spans="1:14" ht="14.1" customHeight="1" x14ac:dyDescent="0.2"/>
    <row r="105" spans="1:14" ht="14.1" customHeight="1" x14ac:dyDescent="0.2"/>
    <row r="106" spans="1:14" ht="14.1" customHeight="1" x14ac:dyDescent="0.2"/>
    <row r="107" spans="1:14" ht="14.1" customHeight="1" x14ac:dyDescent="0.2"/>
    <row r="108" spans="1:14" ht="14.1" customHeight="1" x14ac:dyDescent="0.2"/>
    <row r="109" spans="1:14" ht="14.1" customHeight="1" x14ac:dyDescent="0.2"/>
    <row r="110" spans="1:14" ht="14.1" customHeight="1" x14ac:dyDescent="0.2"/>
    <row r="111" spans="1:14" ht="14.1" customHeight="1" x14ac:dyDescent="0.2"/>
    <row r="112" spans="1:14" ht="14.1" customHeight="1" x14ac:dyDescent="0.2"/>
    <row r="113" ht="14.1" customHeight="1" x14ac:dyDescent="0.2"/>
    <row r="114" ht="14.1" customHeight="1" x14ac:dyDescent="0.2"/>
    <row r="115" ht="14.1" customHeight="1" x14ac:dyDescent="0.2"/>
    <row r="116" ht="14.1" customHeight="1" x14ac:dyDescent="0.2"/>
    <row r="117" ht="14.1" customHeight="1" x14ac:dyDescent="0.2"/>
    <row r="118" ht="14.1" customHeight="1" x14ac:dyDescent="0.2"/>
    <row r="119" ht="14.1" customHeight="1" x14ac:dyDescent="0.2"/>
    <row r="120" ht="14.1" customHeight="1" x14ac:dyDescent="0.2"/>
    <row r="121" ht="14.1" customHeight="1" x14ac:dyDescent="0.2"/>
    <row r="122" ht="14.1" customHeight="1" x14ac:dyDescent="0.2"/>
    <row r="123" ht="14.1" customHeight="1" x14ac:dyDescent="0.2"/>
    <row r="124" ht="14.1" customHeight="1" x14ac:dyDescent="0.2"/>
    <row r="125" ht="14.1" customHeight="1" x14ac:dyDescent="0.2"/>
    <row r="126" ht="14.1" customHeight="1" x14ac:dyDescent="0.2"/>
    <row r="127" ht="14.1" customHeight="1" x14ac:dyDescent="0.2"/>
    <row r="128" ht="14.1" customHeight="1" x14ac:dyDescent="0.2"/>
    <row r="129" ht="14.1" customHeight="1" x14ac:dyDescent="0.2"/>
    <row r="130" ht="14.1" customHeight="1" x14ac:dyDescent="0.2"/>
    <row r="131" ht="14.1" customHeight="1" x14ac:dyDescent="0.2"/>
    <row r="132" ht="14.1" customHeight="1" x14ac:dyDescent="0.2"/>
    <row r="133" ht="14.1" customHeight="1" x14ac:dyDescent="0.2"/>
    <row r="134" ht="14.1" customHeight="1" x14ac:dyDescent="0.2"/>
    <row r="135" ht="14.1" customHeight="1" x14ac:dyDescent="0.2"/>
    <row r="136" ht="14.1" customHeight="1" x14ac:dyDescent="0.2"/>
    <row r="137" ht="14.1" customHeight="1" x14ac:dyDescent="0.2"/>
    <row r="138" ht="14.1" customHeight="1" x14ac:dyDescent="0.2"/>
    <row r="139" ht="14.1" customHeight="1" x14ac:dyDescent="0.2"/>
    <row r="140" ht="14.1" customHeight="1" x14ac:dyDescent="0.2"/>
    <row r="141" ht="14.1" customHeight="1" x14ac:dyDescent="0.2"/>
    <row r="142" ht="14.1" customHeight="1" x14ac:dyDescent="0.2"/>
    <row r="143" ht="14.1" customHeight="1" x14ac:dyDescent="0.2"/>
    <row r="144" ht="14.1" customHeight="1" x14ac:dyDescent="0.2"/>
    <row r="145" ht="14.1" customHeight="1" x14ac:dyDescent="0.2"/>
    <row r="146" ht="14.1" customHeight="1" x14ac:dyDescent="0.2"/>
    <row r="147" ht="14.1" customHeight="1" x14ac:dyDescent="0.2"/>
    <row r="148" ht="14.1" customHeight="1" x14ac:dyDescent="0.2"/>
    <row r="149" ht="14.1" customHeight="1" x14ac:dyDescent="0.2"/>
    <row r="150" ht="14.1" customHeight="1" x14ac:dyDescent="0.2"/>
    <row r="151" ht="14.1" customHeight="1" x14ac:dyDescent="0.2"/>
    <row r="152" ht="14.1" customHeight="1" x14ac:dyDescent="0.2"/>
    <row r="153" ht="14.1" customHeight="1" x14ac:dyDescent="0.2"/>
    <row r="154" ht="14.1" customHeight="1" x14ac:dyDescent="0.2"/>
    <row r="155" ht="14.1" customHeight="1" x14ac:dyDescent="0.2"/>
    <row r="156" ht="14.1" customHeight="1" x14ac:dyDescent="0.2"/>
    <row r="157" ht="14.1" customHeight="1" x14ac:dyDescent="0.2"/>
    <row r="158" ht="14.1" customHeight="1" x14ac:dyDescent="0.2"/>
    <row r="159" ht="14.1" customHeight="1" x14ac:dyDescent="0.2"/>
    <row r="160" ht="14.1" customHeight="1" x14ac:dyDescent="0.2"/>
    <row r="161" ht="14.1" customHeight="1" x14ac:dyDescent="0.2"/>
    <row r="162" ht="14.1" customHeight="1" x14ac:dyDescent="0.2"/>
    <row r="163" ht="14.1" customHeight="1" x14ac:dyDescent="0.2"/>
    <row r="164" ht="14.1" customHeight="1" x14ac:dyDescent="0.2"/>
    <row r="165" ht="14.1" customHeight="1" x14ac:dyDescent="0.2"/>
    <row r="166" ht="14.1" customHeight="1" x14ac:dyDescent="0.2"/>
    <row r="167" ht="14.1" customHeight="1" x14ac:dyDescent="0.2"/>
    <row r="168" ht="14.1" customHeight="1" x14ac:dyDescent="0.2"/>
    <row r="169" ht="14.1" customHeight="1" x14ac:dyDescent="0.2"/>
    <row r="170" ht="14.1" customHeight="1" x14ac:dyDescent="0.2"/>
    <row r="171" ht="14.1" customHeight="1" x14ac:dyDescent="0.2"/>
    <row r="172" ht="14.1" customHeight="1" x14ac:dyDescent="0.2"/>
    <row r="173" ht="14.1" customHeight="1" x14ac:dyDescent="0.2"/>
    <row r="174" ht="14.1" customHeight="1" x14ac:dyDescent="0.2"/>
    <row r="175" ht="14.1" customHeight="1" x14ac:dyDescent="0.2"/>
    <row r="176" ht="14.1" customHeight="1" x14ac:dyDescent="0.2"/>
    <row r="177" ht="14.1" customHeight="1" x14ac:dyDescent="0.2"/>
    <row r="178" ht="14.1" customHeight="1" x14ac:dyDescent="0.2"/>
    <row r="179" ht="14.1" customHeight="1" x14ac:dyDescent="0.2"/>
    <row r="180" ht="14.1" customHeight="1" x14ac:dyDescent="0.2"/>
    <row r="181" ht="14.1" customHeight="1" x14ac:dyDescent="0.2"/>
    <row r="182" ht="14.1" customHeight="1" x14ac:dyDescent="0.2"/>
    <row r="183" ht="14.1" customHeight="1" x14ac:dyDescent="0.2"/>
    <row r="184" ht="14.1" customHeight="1" x14ac:dyDescent="0.2"/>
    <row r="185" ht="14.1" customHeight="1" x14ac:dyDescent="0.2"/>
    <row r="186" ht="14.1" customHeight="1" x14ac:dyDescent="0.2"/>
    <row r="187" ht="14.1" customHeight="1" x14ac:dyDescent="0.2"/>
    <row r="188" ht="14.1" customHeight="1" x14ac:dyDescent="0.2"/>
    <row r="189" ht="14.1" customHeight="1" x14ac:dyDescent="0.2"/>
    <row r="190" ht="14.1" customHeight="1" x14ac:dyDescent="0.2"/>
    <row r="191" ht="14.1" customHeight="1" x14ac:dyDescent="0.2"/>
    <row r="192" ht="14.1" customHeight="1" x14ac:dyDescent="0.2"/>
    <row r="193" ht="14.1" customHeight="1" x14ac:dyDescent="0.2"/>
    <row r="194" ht="14.1" customHeight="1" x14ac:dyDescent="0.2"/>
    <row r="195" ht="14.1" customHeight="1" x14ac:dyDescent="0.2"/>
    <row r="196" ht="14.1" customHeight="1" x14ac:dyDescent="0.2"/>
    <row r="197" ht="14.1" customHeight="1" x14ac:dyDescent="0.2"/>
    <row r="198" ht="14.1" customHeight="1" x14ac:dyDescent="0.2"/>
    <row r="199" ht="14.1" customHeight="1" x14ac:dyDescent="0.2"/>
    <row r="200" ht="14.1" customHeight="1" x14ac:dyDescent="0.2"/>
    <row r="201" ht="14.1" customHeight="1" x14ac:dyDescent="0.2"/>
    <row r="202" ht="14.1" customHeight="1" x14ac:dyDescent="0.2"/>
    <row r="203" ht="14.1" customHeight="1" x14ac:dyDescent="0.2"/>
    <row r="204" ht="14.1" customHeight="1" x14ac:dyDescent="0.2"/>
    <row r="205" ht="14.1" customHeight="1" x14ac:dyDescent="0.2"/>
    <row r="206" ht="14.1" customHeight="1" x14ac:dyDescent="0.2"/>
    <row r="207" ht="14.1" customHeight="1" x14ac:dyDescent="0.2"/>
    <row r="208" ht="14.1" customHeight="1" x14ac:dyDescent="0.2"/>
    <row r="209" ht="14.1" customHeight="1" x14ac:dyDescent="0.2"/>
    <row r="210" ht="14.1" customHeight="1" x14ac:dyDescent="0.2"/>
    <row r="211" ht="14.1" customHeight="1" x14ac:dyDescent="0.2"/>
    <row r="212" ht="14.1" customHeight="1" x14ac:dyDescent="0.2"/>
    <row r="213" ht="14.1" customHeight="1" x14ac:dyDescent="0.2"/>
    <row r="214" ht="14.1" customHeight="1" x14ac:dyDescent="0.2"/>
    <row r="215" ht="14.1" customHeight="1" x14ac:dyDescent="0.2"/>
    <row r="216" ht="14.1" customHeight="1" x14ac:dyDescent="0.2"/>
    <row r="217" ht="14.1" customHeight="1" x14ac:dyDescent="0.2"/>
    <row r="218" ht="14.1" customHeight="1" x14ac:dyDescent="0.2"/>
    <row r="219" ht="14.1" customHeight="1" x14ac:dyDescent="0.2"/>
    <row r="220" ht="14.1" customHeight="1" x14ac:dyDescent="0.2"/>
    <row r="221" ht="14.1" customHeight="1" x14ac:dyDescent="0.2"/>
    <row r="222" ht="14.1" customHeight="1" x14ac:dyDescent="0.2"/>
    <row r="223" ht="14.1" customHeight="1" x14ac:dyDescent="0.2"/>
    <row r="224" ht="14.1" customHeight="1" x14ac:dyDescent="0.2"/>
    <row r="225" ht="14.1" customHeight="1" x14ac:dyDescent="0.2"/>
    <row r="226" ht="14.1" customHeight="1" x14ac:dyDescent="0.2"/>
    <row r="227" ht="14.1" customHeight="1" x14ac:dyDescent="0.2"/>
    <row r="228" ht="14.1" customHeight="1" x14ac:dyDescent="0.2"/>
    <row r="229" ht="14.1" customHeight="1" x14ac:dyDescent="0.2"/>
    <row r="230" ht="14.1" customHeight="1" x14ac:dyDescent="0.2"/>
    <row r="231" ht="14.1" customHeight="1" x14ac:dyDescent="0.2"/>
    <row r="232" ht="14.1" customHeight="1" x14ac:dyDescent="0.2"/>
    <row r="233" ht="14.1" customHeight="1" x14ac:dyDescent="0.2"/>
    <row r="234" ht="14.1" customHeight="1" x14ac:dyDescent="0.2"/>
    <row r="235" ht="14.1" customHeight="1" x14ac:dyDescent="0.2"/>
    <row r="236" ht="14.1" customHeight="1" x14ac:dyDescent="0.2"/>
    <row r="237" ht="14.1" customHeight="1" x14ac:dyDescent="0.2"/>
    <row r="238" ht="14.1" customHeight="1" x14ac:dyDescent="0.2"/>
    <row r="239" ht="14.1" customHeight="1" x14ac:dyDescent="0.2"/>
    <row r="240" ht="14.1" customHeight="1" x14ac:dyDescent="0.2"/>
    <row r="241" ht="14.1" customHeight="1" x14ac:dyDescent="0.2"/>
    <row r="242" ht="14.1" customHeight="1" x14ac:dyDescent="0.2"/>
    <row r="243" ht="14.1" customHeight="1" x14ac:dyDescent="0.2"/>
    <row r="244" ht="14.1" customHeight="1" x14ac:dyDescent="0.2"/>
    <row r="245" ht="14.1" customHeight="1" x14ac:dyDescent="0.2"/>
    <row r="246" ht="14.1" customHeight="1" x14ac:dyDescent="0.2"/>
    <row r="247" ht="14.1" customHeight="1" x14ac:dyDescent="0.2"/>
    <row r="248" ht="14.1" customHeight="1" x14ac:dyDescent="0.2"/>
    <row r="249" ht="14.1" customHeight="1" x14ac:dyDescent="0.2"/>
    <row r="250" ht="14.1" customHeight="1" x14ac:dyDescent="0.2"/>
    <row r="251" ht="14.1" customHeight="1" x14ac:dyDescent="0.2"/>
    <row r="252" ht="14.1" customHeight="1" x14ac:dyDescent="0.2"/>
    <row r="253" ht="14.1" customHeight="1" x14ac:dyDescent="0.2"/>
    <row r="254" ht="14.1" customHeight="1" x14ac:dyDescent="0.2"/>
    <row r="255" ht="14.1" customHeight="1" x14ac:dyDescent="0.2"/>
    <row r="256" ht="14.1" customHeight="1" x14ac:dyDescent="0.2"/>
    <row r="257" ht="14.1" customHeight="1" x14ac:dyDescent="0.2"/>
    <row r="258" ht="14.1" customHeight="1" x14ac:dyDescent="0.2"/>
    <row r="259" ht="14.1" customHeight="1" x14ac:dyDescent="0.2"/>
    <row r="260" ht="14.1" customHeight="1" x14ac:dyDescent="0.2"/>
    <row r="261" ht="14.1" customHeight="1" x14ac:dyDescent="0.2"/>
    <row r="262" ht="14.1" customHeight="1" x14ac:dyDescent="0.2"/>
  </sheetData>
  <dataConsolidate/>
  <mergeCells count="32">
    <mergeCell ref="A92:A93"/>
    <mergeCell ref="A85:A86"/>
    <mergeCell ref="A87:A88"/>
    <mergeCell ref="A39:A40"/>
    <mergeCell ref="A1:A2"/>
    <mergeCell ref="A4:A5"/>
    <mergeCell ref="A7:A8"/>
    <mergeCell ref="A10:A11"/>
    <mergeCell ref="A13:A14"/>
    <mergeCell ref="A16:A17"/>
    <mergeCell ref="A19:A20"/>
    <mergeCell ref="A22:A23"/>
    <mergeCell ref="A25:A26"/>
    <mergeCell ref="A28:A29"/>
    <mergeCell ref="A31:A32"/>
    <mergeCell ref="A33:A34"/>
    <mergeCell ref="A98:A99"/>
    <mergeCell ref="A95:A96"/>
    <mergeCell ref="A36:A37"/>
    <mergeCell ref="A71:A72"/>
    <mergeCell ref="A73:A74"/>
    <mergeCell ref="A68:A69"/>
    <mergeCell ref="A42:A43"/>
    <mergeCell ref="A45:A46"/>
    <mergeCell ref="A48:A49"/>
    <mergeCell ref="A51:A52"/>
    <mergeCell ref="A54:A55"/>
    <mergeCell ref="A66:A67"/>
    <mergeCell ref="A63:A64"/>
    <mergeCell ref="A57:A58"/>
    <mergeCell ref="A60:A61"/>
    <mergeCell ref="A90:A91"/>
  </mergeCells>
  <dataValidations disablePrompts="1" count="2">
    <dataValidation type="list" showInputMessage="1" showErrorMessage="1" errorTitle="CycleTime error" error="CycleTime not supported by SimbaPro. Please use one of the values from the dropdown list." sqref="M40">
      <formula1>"-1,10,20,50,100,200,500,1000,2000,5000,10000"</formula1>
    </dataValidation>
    <dataValidation type="list" showInputMessage="1" showErrorMessage="1" sqref="F40 K40:L40">
      <formula1>"TRUE,FALSE"</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2"/>
  <sheetViews>
    <sheetView workbookViewId="0">
      <selection activeCell="F58" sqref="F58"/>
    </sheetView>
  </sheetViews>
  <sheetFormatPr defaultRowHeight="12.75" customHeight="1" x14ac:dyDescent="0.2"/>
  <cols>
    <col min="1" max="38" width="22.42578125" customWidth="1"/>
  </cols>
  <sheetData>
    <row r="1" spans="1:38" s="8" customFormat="1" ht="22.5" x14ac:dyDescent="0.2">
      <c r="A1" s="2" t="s">
        <v>53</v>
      </c>
      <c r="B1" s="2" t="s">
        <v>54</v>
      </c>
      <c r="C1" s="2" t="s">
        <v>55</v>
      </c>
      <c r="D1" s="2" t="s">
        <v>56</v>
      </c>
      <c r="E1" s="2" t="s">
        <v>57</v>
      </c>
      <c r="F1" s="2" t="s">
        <v>0</v>
      </c>
      <c r="G1" s="2" t="s">
        <v>58</v>
      </c>
      <c r="H1" s="2" t="s">
        <v>59</v>
      </c>
      <c r="I1" s="2" t="s">
        <v>60</v>
      </c>
      <c r="J1" s="3" t="s">
        <v>61</v>
      </c>
      <c r="K1" s="3" t="s">
        <v>62</v>
      </c>
      <c r="L1" s="4" t="s">
        <v>63</v>
      </c>
      <c r="M1" s="5" t="s">
        <v>64</v>
      </c>
      <c r="N1" s="4" t="s">
        <v>65</v>
      </c>
      <c r="O1" s="4" t="s">
        <v>66</v>
      </c>
      <c r="P1" s="4" t="s">
        <v>67</v>
      </c>
      <c r="Q1" s="2" t="s">
        <v>2</v>
      </c>
      <c r="R1" s="2" t="s">
        <v>68</v>
      </c>
      <c r="S1" s="2" t="s">
        <v>1</v>
      </c>
      <c r="T1" s="2" t="s">
        <v>9</v>
      </c>
      <c r="U1" s="2" t="s">
        <v>69</v>
      </c>
      <c r="V1" s="2" t="s">
        <v>70</v>
      </c>
      <c r="W1" s="2" t="s">
        <v>71</v>
      </c>
      <c r="X1" s="2" t="s">
        <v>72</v>
      </c>
      <c r="Y1" s="2" t="s">
        <v>73</v>
      </c>
      <c r="Z1" s="2" t="s">
        <v>74</v>
      </c>
      <c r="AA1" s="2" t="s">
        <v>75</v>
      </c>
      <c r="AB1" s="2" t="s">
        <v>76</v>
      </c>
      <c r="AC1" s="2" t="s">
        <v>77</v>
      </c>
      <c r="AD1" s="6" t="s">
        <v>78</v>
      </c>
      <c r="AE1" s="7" t="s">
        <v>79</v>
      </c>
      <c r="AF1" s="7" t="s">
        <v>80</v>
      </c>
      <c r="AG1" s="6" t="s">
        <v>81</v>
      </c>
      <c r="AH1" s="6" t="s">
        <v>82</v>
      </c>
      <c r="AI1" s="6" t="s">
        <v>83</v>
      </c>
      <c r="AJ1" s="6" t="s">
        <v>84</v>
      </c>
      <c r="AK1" s="6" t="s">
        <v>85</v>
      </c>
      <c r="AL1" s="6" t="s">
        <v>86</v>
      </c>
    </row>
    <row r="2" spans="1:38" s="8" customFormat="1" ht="11.25" x14ac:dyDescent="0.2">
      <c r="A2" s="2" t="s">
        <v>18</v>
      </c>
      <c r="B2" s="2" t="s">
        <v>19</v>
      </c>
      <c r="C2" s="2" t="s">
        <v>20</v>
      </c>
      <c r="D2" s="2" t="s">
        <v>21</v>
      </c>
      <c r="E2" s="2" t="s">
        <v>22</v>
      </c>
      <c r="F2" s="2" t="s">
        <v>23</v>
      </c>
      <c r="G2" s="2" t="s">
        <v>24</v>
      </c>
      <c r="H2" s="2" t="s">
        <v>25</v>
      </c>
      <c r="I2" s="2" t="s">
        <v>26</v>
      </c>
      <c r="J2" s="2" t="s">
        <v>27</v>
      </c>
      <c r="K2" s="2" t="s">
        <v>28</v>
      </c>
      <c r="L2" s="2" t="s">
        <v>29</v>
      </c>
      <c r="M2" s="9" t="s">
        <v>30</v>
      </c>
      <c r="N2" s="2" t="s">
        <v>31</v>
      </c>
      <c r="O2" s="2" t="s">
        <v>32</v>
      </c>
      <c r="P2" s="2" t="s">
        <v>33</v>
      </c>
      <c r="Q2" s="2" t="s">
        <v>34</v>
      </c>
      <c r="R2" s="2" t="s">
        <v>35</v>
      </c>
      <c r="S2" s="2" t="s">
        <v>36</v>
      </c>
      <c r="T2" s="2" t="s">
        <v>37</v>
      </c>
      <c r="U2" s="2" t="s">
        <v>38</v>
      </c>
      <c r="V2" s="2" t="s">
        <v>39</v>
      </c>
      <c r="W2" s="2" t="s">
        <v>40</v>
      </c>
      <c r="X2" s="2" t="s">
        <v>41</v>
      </c>
      <c r="Y2" s="2" t="s">
        <v>42</v>
      </c>
      <c r="Z2" s="2" t="s">
        <v>43</v>
      </c>
      <c r="AA2" s="2" t="s">
        <v>44</v>
      </c>
      <c r="AB2" s="2" t="s">
        <v>45</v>
      </c>
      <c r="AC2" s="2" t="s">
        <v>46</v>
      </c>
      <c r="AD2" s="2" t="s">
        <v>47</v>
      </c>
      <c r="AE2" s="2" t="s">
        <v>48</v>
      </c>
      <c r="AF2" s="2" t="s">
        <v>49</v>
      </c>
      <c r="AG2" s="2" t="s">
        <v>50</v>
      </c>
      <c r="AH2" s="2" t="s">
        <v>51</v>
      </c>
      <c r="AI2" s="2" t="s">
        <v>52</v>
      </c>
      <c r="AJ2" s="2" t="s">
        <v>87</v>
      </c>
      <c r="AK2" s="2" t="s">
        <v>88</v>
      </c>
      <c r="AL2" s="2" t="s">
        <v>89</v>
      </c>
    </row>
  </sheetData>
  <dataConsolidate/>
  <conditionalFormatting sqref="B1">
    <cfRule type="duplicateValues" dxfId="0" priority="1"/>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38"/>
  <sheetViews>
    <sheetView workbookViewId="0">
      <selection activeCell="C45" sqref="C45"/>
    </sheetView>
  </sheetViews>
  <sheetFormatPr defaultRowHeight="12.75" x14ac:dyDescent="0.2"/>
  <cols>
    <col min="1" max="1" width="20.42578125" bestFit="1" customWidth="1"/>
    <col min="2" max="2" width="17.42578125" bestFit="1" customWidth="1"/>
    <col min="3" max="3" width="34.7109375" bestFit="1" customWidth="1"/>
    <col min="4" max="4" width="19.42578125" bestFit="1" customWidth="1"/>
    <col min="5" max="5" width="16.7109375" bestFit="1" customWidth="1"/>
    <col min="6" max="6" width="17.42578125" bestFit="1" customWidth="1"/>
    <col min="7" max="7" width="21.7109375" bestFit="1" customWidth="1"/>
    <col min="8" max="9" width="10.5703125" customWidth="1"/>
    <col min="10" max="10" width="12" bestFit="1" customWidth="1"/>
    <col min="11" max="11" width="10" bestFit="1" customWidth="1"/>
    <col min="12" max="12" width="20.5703125" bestFit="1" customWidth="1"/>
    <col min="13" max="13" width="12" bestFit="1" customWidth="1"/>
    <col min="14" max="14" width="10" bestFit="1" customWidth="1"/>
    <col min="15" max="15" width="16.5703125" bestFit="1" customWidth="1"/>
    <col min="16" max="16" width="27.5703125" bestFit="1" customWidth="1"/>
  </cols>
  <sheetData>
    <row r="1" spans="1:16" x14ac:dyDescent="0.2">
      <c r="A1" s="152" t="s">
        <v>176</v>
      </c>
      <c r="B1" s="18" t="s">
        <v>218</v>
      </c>
      <c r="C1" s="18" t="s">
        <v>219</v>
      </c>
      <c r="D1" s="18" t="s">
        <v>220</v>
      </c>
      <c r="E1" s="18" t="s">
        <v>221</v>
      </c>
      <c r="F1" s="18" t="s">
        <v>222</v>
      </c>
      <c r="G1" s="18" t="s">
        <v>223</v>
      </c>
      <c r="L1" s="20" t="s">
        <v>196</v>
      </c>
      <c r="M1" t="s">
        <v>192</v>
      </c>
      <c r="N1" t="s">
        <v>193</v>
      </c>
      <c r="O1" t="s">
        <v>194</v>
      </c>
      <c r="P1" t="s">
        <v>195</v>
      </c>
    </row>
    <row r="2" spans="1:16" x14ac:dyDescent="0.2">
      <c r="A2" s="152"/>
      <c r="B2" s="18" t="s">
        <v>5</v>
      </c>
      <c r="C2" s="19" t="s">
        <v>185</v>
      </c>
      <c r="D2" s="19" t="s">
        <v>205</v>
      </c>
      <c r="E2" s="18" t="s">
        <v>179</v>
      </c>
      <c r="F2" s="18" t="s">
        <v>3</v>
      </c>
      <c r="G2" s="19" t="s">
        <v>187</v>
      </c>
    </row>
    <row r="3" spans="1:16" x14ac:dyDescent="0.2">
      <c r="A3" s="16"/>
      <c r="B3" s="17"/>
      <c r="C3" s="17"/>
      <c r="D3" s="17"/>
      <c r="E3" s="17"/>
      <c r="F3" s="17"/>
      <c r="G3" s="17"/>
    </row>
    <row r="4" spans="1:16" x14ac:dyDescent="0.2">
      <c r="A4" s="152" t="s">
        <v>16</v>
      </c>
      <c r="B4" s="18" t="s">
        <v>218</v>
      </c>
      <c r="C4" s="18" t="s">
        <v>219</v>
      </c>
      <c r="D4" s="18" t="s">
        <v>220</v>
      </c>
      <c r="E4" s="18" t="s">
        <v>221</v>
      </c>
      <c r="F4" s="18"/>
      <c r="G4" s="18"/>
    </row>
    <row r="5" spans="1:16" x14ac:dyDescent="0.2">
      <c r="A5" s="152"/>
      <c r="B5" s="18" t="s">
        <v>5</v>
      </c>
      <c r="C5" s="19" t="s">
        <v>186</v>
      </c>
      <c r="D5" s="18" t="s">
        <v>180</v>
      </c>
      <c r="E5" s="18" t="s">
        <v>3</v>
      </c>
      <c r="F5" s="18"/>
      <c r="G5" s="18"/>
    </row>
    <row r="6" spans="1:16" x14ac:dyDescent="0.2">
      <c r="A6" s="16"/>
      <c r="B6" s="17"/>
      <c r="C6" s="17"/>
      <c r="D6" s="17"/>
      <c r="E6" s="17"/>
      <c r="F6" s="17"/>
      <c r="G6" s="17"/>
    </row>
    <row r="7" spans="1:16" x14ac:dyDescent="0.2">
      <c r="A7" s="152" t="s">
        <v>443</v>
      </c>
      <c r="B7" s="18" t="s">
        <v>218</v>
      </c>
      <c r="C7" s="18" t="s">
        <v>219</v>
      </c>
      <c r="D7" s="18" t="s">
        <v>220</v>
      </c>
      <c r="E7" s="18" t="s">
        <v>221</v>
      </c>
      <c r="F7" s="18" t="s">
        <v>222</v>
      </c>
      <c r="G7" s="18"/>
    </row>
    <row r="8" spans="1:16" x14ac:dyDescent="0.2">
      <c r="A8" s="152"/>
      <c r="B8" s="18" t="s">
        <v>5</v>
      </c>
      <c r="C8" s="19" t="s">
        <v>147</v>
      </c>
      <c r="D8" s="18" t="s">
        <v>181</v>
      </c>
      <c r="E8" s="18" t="s">
        <v>182</v>
      </c>
      <c r="F8" s="18" t="s">
        <v>183</v>
      </c>
      <c r="G8" s="18"/>
    </row>
    <row r="9" spans="1:16" x14ac:dyDescent="0.2">
      <c r="A9" s="16"/>
      <c r="B9" s="17"/>
      <c r="C9" s="17"/>
      <c r="D9" s="17"/>
      <c r="E9" s="17"/>
      <c r="F9" s="17"/>
      <c r="G9" s="17"/>
    </row>
    <row r="10" spans="1:16" x14ac:dyDescent="0.2">
      <c r="A10" s="153" t="s">
        <v>177</v>
      </c>
      <c r="B10" s="18" t="s">
        <v>218</v>
      </c>
      <c r="C10" s="18" t="s">
        <v>219</v>
      </c>
      <c r="D10" s="18"/>
      <c r="E10" s="18"/>
      <c r="F10" s="18"/>
      <c r="G10" s="18"/>
    </row>
    <row r="11" spans="1:16" x14ac:dyDescent="0.2">
      <c r="A11" s="153"/>
      <c r="B11" s="18" t="s">
        <v>5</v>
      </c>
      <c r="C11" s="18" t="s">
        <v>184</v>
      </c>
      <c r="D11" s="18"/>
      <c r="E11" s="18"/>
      <c r="F11" s="18"/>
      <c r="G11" s="18"/>
    </row>
    <row r="12" spans="1:16" x14ac:dyDescent="0.2">
      <c r="A12" s="17"/>
      <c r="B12" s="17"/>
      <c r="C12" s="17"/>
      <c r="D12" s="17"/>
      <c r="E12" s="17"/>
      <c r="F12" s="17"/>
      <c r="G12" s="17"/>
    </row>
    <row r="13" spans="1:16" x14ac:dyDescent="0.2">
      <c r="A13" s="152" t="s">
        <v>178</v>
      </c>
      <c r="B13" s="18" t="s">
        <v>218</v>
      </c>
      <c r="C13" s="18" t="s">
        <v>219</v>
      </c>
      <c r="D13" s="18" t="s">
        <v>220</v>
      </c>
      <c r="E13" s="18"/>
      <c r="F13" s="18"/>
      <c r="G13" s="18"/>
    </row>
    <row r="14" spans="1:16" x14ac:dyDescent="0.2">
      <c r="A14" s="152"/>
      <c r="B14" s="18" t="s">
        <v>5</v>
      </c>
      <c r="C14" s="18" t="s">
        <v>136</v>
      </c>
      <c r="D14" s="18" t="s">
        <v>261</v>
      </c>
      <c r="E14" s="18"/>
      <c r="F14" s="18"/>
      <c r="G14" s="18"/>
    </row>
    <row r="15" spans="1:16" x14ac:dyDescent="0.2">
      <c r="A15" s="17"/>
      <c r="B15" s="17"/>
      <c r="C15" s="17"/>
      <c r="D15" s="17"/>
      <c r="E15" s="17"/>
      <c r="F15" s="17"/>
      <c r="G15" s="17"/>
    </row>
    <row r="16" spans="1:16" x14ac:dyDescent="0.2">
      <c r="A16" s="152" t="s">
        <v>188</v>
      </c>
      <c r="B16" s="18" t="s">
        <v>218</v>
      </c>
      <c r="C16" s="18" t="s">
        <v>219</v>
      </c>
      <c r="D16" s="18" t="s">
        <v>220</v>
      </c>
      <c r="E16" s="18"/>
      <c r="F16" s="18"/>
      <c r="G16" s="18"/>
    </row>
    <row r="17" spans="1:7" x14ac:dyDescent="0.2">
      <c r="A17" s="152"/>
      <c r="B17" s="18" t="s">
        <v>5</v>
      </c>
      <c r="C17" s="19" t="s">
        <v>189</v>
      </c>
      <c r="D17" s="19" t="s">
        <v>190</v>
      </c>
      <c r="E17" s="19"/>
      <c r="F17" s="18"/>
      <c r="G17" s="18"/>
    </row>
    <row r="18" spans="1:7" x14ac:dyDescent="0.2">
      <c r="A18" s="17"/>
      <c r="B18" s="17"/>
      <c r="C18" s="17"/>
      <c r="D18" s="17"/>
      <c r="E18" s="17"/>
      <c r="F18" s="17"/>
      <c r="G18" s="17"/>
    </row>
    <row r="19" spans="1:7" x14ac:dyDescent="0.2">
      <c r="A19" s="154" t="s">
        <v>168</v>
      </c>
      <c r="B19" s="18" t="s">
        <v>218</v>
      </c>
      <c r="C19" s="18" t="s">
        <v>219</v>
      </c>
      <c r="D19" s="18"/>
      <c r="E19" s="18"/>
      <c r="F19" s="18"/>
      <c r="G19" s="18"/>
    </row>
    <row r="20" spans="1:7" x14ac:dyDescent="0.2">
      <c r="A20" s="152"/>
      <c r="B20" s="19" t="s">
        <v>5</v>
      </c>
      <c r="C20" s="19" t="s">
        <v>191</v>
      </c>
      <c r="D20" s="19"/>
      <c r="E20" s="19"/>
      <c r="F20" s="18"/>
      <c r="G20" s="18"/>
    </row>
    <row r="21" spans="1:7" x14ac:dyDescent="0.2">
      <c r="A21" s="17"/>
      <c r="B21" s="17"/>
      <c r="C21" s="17"/>
      <c r="D21" s="17"/>
      <c r="E21" s="17"/>
      <c r="F21" s="17"/>
      <c r="G21" s="17"/>
    </row>
    <row r="22" spans="1:7" x14ac:dyDescent="0.2">
      <c r="A22" s="154" t="s">
        <v>217</v>
      </c>
      <c r="B22" s="18" t="s">
        <v>218</v>
      </c>
      <c r="C22" s="18" t="s">
        <v>219</v>
      </c>
      <c r="D22" s="19" t="s">
        <v>220</v>
      </c>
      <c r="E22" s="19" t="s">
        <v>221</v>
      </c>
      <c r="F22" s="19" t="s">
        <v>222</v>
      </c>
      <c r="G22" s="19"/>
    </row>
    <row r="23" spans="1:7" x14ac:dyDescent="0.2">
      <c r="A23" s="152"/>
      <c r="B23" s="19" t="s">
        <v>5</v>
      </c>
      <c r="C23" s="19" t="s">
        <v>227</v>
      </c>
      <c r="D23" s="19" t="s">
        <v>224</v>
      </c>
      <c r="E23" s="19" t="s">
        <v>225</v>
      </c>
      <c r="F23" s="19" t="s">
        <v>226</v>
      </c>
      <c r="G23" s="18"/>
    </row>
    <row r="24" spans="1:7" x14ac:dyDescent="0.2">
      <c r="A24" s="17"/>
      <c r="B24" s="17"/>
      <c r="C24" s="17"/>
      <c r="D24" s="17"/>
      <c r="E24" s="17"/>
      <c r="F24" s="17"/>
      <c r="G24" s="17"/>
    </row>
    <row r="25" spans="1:7" x14ac:dyDescent="0.2">
      <c r="A25" s="154" t="s">
        <v>229</v>
      </c>
      <c r="B25" s="18" t="s">
        <v>218</v>
      </c>
      <c r="C25" s="18" t="s">
        <v>219</v>
      </c>
      <c r="D25" s="18"/>
      <c r="E25" s="18"/>
      <c r="F25" s="18"/>
      <c r="G25" s="18"/>
    </row>
    <row r="26" spans="1:7" x14ac:dyDescent="0.2">
      <c r="A26" s="152"/>
      <c r="B26" s="19" t="s">
        <v>263</v>
      </c>
      <c r="C26" s="19" t="s">
        <v>264</v>
      </c>
      <c r="D26" s="19"/>
      <c r="E26" s="19"/>
      <c r="F26" s="18"/>
      <c r="G26" s="18"/>
    </row>
    <row r="27" spans="1:7" s="66" customFormat="1" x14ac:dyDescent="0.2">
      <c r="A27" s="16"/>
      <c r="B27" s="17"/>
      <c r="C27" s="17"/>
      <c r="D27" s="17"/>
      <c r="E27" s="17"/>
      <c r="F27" s="17"/>
      <c r="G27" s="17"/>
    </row>
    <row r="28" spans="1:7" s="66" customFormat="1" x14ac:dyDescent="0.2">
      <c r="A28" s="152" t="s">
        <v>102</v>
      </c>
      <c r="B28" s="18" t="s">
        <v>218</v>
      </c>
      <c r="C28" s="18" t="s">
        <v>219</v>
      </c>
      <c r="D28" s="19" t="s">
        <v>220</v>
      </c>
      <c r="E28" s="19" t="s">
        <v>221</v>
      </c>
      <c r="F28" s="19"/>
      <c r="G28" s="18"/>
    </row>
    <row r="29" spans="1:7" s="66" customFormat="1" x14ac:dyDescent="0.2">
      <c r="A29" s="152"/>
      <c r="B29" s="18" t="s">
        <v>5</v>
      </c>
      <c r="C29" s="19" t="s">
        <v>279</v>
      </c>
      <c r="D29" s="18" t="s">
        <v>278</v>
      </c>
      <c r="E29" s="18" t="s">
        <v>286</v>
      </c>
      <c r="F29" s="18"/>
      <c r="G29" s="18"/>
    </row>
    <row r="30" spans="1:7" s="66" customFormat="1" x14ac:dyDescent="0.2">
      <c r="A30" s="16"/>
      <c r="B30" s="17"/>
      <c r="C30" s="17"/>
      <c r="D30" s="17"/>
      <c r="E30" s="17"/>
      <c r="F30" s="17"/>
      <c r="G30" s="17"/>
    </row>
    <row r="31" spans="1:7" x14ac:dyDescent="0.2">
      <c r="A31" s="152" t="s">
        <v>287</v>
      </c>
      <c r="B31" s="18" t="s">
        <v>218</v>
      </c>
      <c r="C31" s="18" t="s">
        <v>219</v>
      </c>
      <c r="D31" s="18" t="s">
        <v>220</v>
      </c>
      <c r="E31" s="18" t="s">
        <v>221</v>
      </c>
      <c r="F31" s="18" t="s">
        <v>222</v>
      </c>
      <c r="G31" s="18" t="s">
        <v>223</v>
      </c>
    </row>
    <row r="32" spans="1:7" x14ac:dyDescent="0.2">
      <c r="A32" s="152"/>
      <c r="B32" s="18" t="s">
        <v>5</v>
      </c>
      <c r="C32" s="19" t="s">
        <v>185</v>
      </c>
      <c r="D32" s="19" t="s">
        <v>205</v>
      </c>
      <c r="E32" s="18" t="s">
        <v>179</v>
      </c>
      <c r="F32" s="18" t="s">
        <v>3</v>
      </c>
      <c r="G32" s="19" t="s">
        <v>187</v>
      </c>
    </row>
    <row r="33" spans="1:7" x14ac:dyDescent="0.2">
      <c r="A33" s="16"/>
      <c r="B33" s="17"/>
      <c r="C33" s="17"/>
      <c r="D33" s="17"/>
      <c r="E33" s="17"/>
      <c r="F33" s="17"/>
      <c r="G33" s="17"/>
    </row>
    <row r="34" spans="1:7" x14ac:dyDescent="0.2">
      <c r="A34" s="152" t="s">
        <v>345</v>
      </c>
      <c r="B34" s="18" t="s">
        <v>218</v>
      </c>
      <c r="C34" s="18" t="s">
        <v>219</v>
      </c>
      <c r="D34" s="18" t="s">
        <v>220</v>
      </c>
      <c r="E34" s="18" t="s">
        <v>221</v>
      </c>
      <c r="F34" s="18"/>
      <c r="G34" s="18"/>
    </row>
    <row r="35" spans="1:7" x14ac:dyDescent="0.2">
      <c r="A35" s="152"/>
      <c r="B35" s="18" t="s">
        <v>5</v>
      </c>
      <c r="C35" s="19" t="s">
        <v>340</v>
      </c>
      <c r="D35" s="19" t="s">
        <v>346</v>
      </c>
      <c r="E35" s="18" t="s">
        <v>173</v>
      </c>
      <c r="F35" s="18"/>
      <c r="G35" s="19"/>
    </row>
    <row r="36" spans="1:7" x14ac:dyDescent="0.2">
      <c r="A36" s="16"/>
      <c r="B36" s="17"/>
      <c r="C36" s="17"/>
      <c r="D36" s="17"/>
      <c r="E36" s="17"/>
      <c r="F36" s="17"/>
      <c r="G36" s="17"/>
    </row>
    <row r="37" spans="1:7" x14ac:dyDescent="0.2">
      <c r="A37" s="152" t="s">
        <v>349</v>
      </c>
      <c r="B37" s="18" t="s">
        <v>218</v>
      </c>
      <c r="C37" s="18" t="s">
        <v>219</v>
      </c>
      <c r="D37" s="18"/>
      <c r="E37" s="18"/>
      <c r="F37" s="18"/>
      <c r="G37" s="18"/>
    </row>
    <row r="38" spans="1:7" x14ac:dyDescent="0.2">
      <c r="A38" s="152"/>
      <c r="B38" s="18" t="s">
        <v>5</v>
      </c>
      <c r="C38" s="18" t="s">
        <v>184</v>
      </c>
      <c r="D38" s="18"/>
      <c r="E38" s="18"/>
      <c r="F38" s="18"/>
      <c r="G38" s="18"/>
    </row>
  </sheetData>
  <dataConsolidate/>
  <mergeCells count="13">
    <mergeCell ref="A37:A38"/>
    <mergeCell ref="A34:A35"/>
    <mergeCell ref="A31:A32"/>
    <mergeCell ref="A1:A2"/>
    <mergeCell ref="A4:A5"/>
    <mergeCell ref="A7:A8"/>
    <mergeCell ref="A10:A11"/>
    <mergeCell ref="A13:A14"/>
    <mergeCell ref="A28:A29"/>
    <mergeCell ref="A25:A26"/>
    <mergeCell ref="A22:A23"/>
    <mergeCell ref="A19:A20"/>
    <mergeCell ref="A16:A17"/>
  </mergeCells>
  <pageMargins left="0.70866141732283472" right="0.70866141732283472" top="0.74803149606299213" bottom="0.74803149606299213" header="0.31496062992125984" footer="0.31496062992125984"/>
  <pageSetup paperSize="9" scale="31"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C35"/>
  <sheetViews>
    <sheetView workbookViewId="0">
      <selection activeCell="N2" sqref="N2"/>
    </sheetView>
  </sheetViews>
  <sheetFormatPr defaultRowHeight="12.75" x14ac:dyDescent="0.2"/>
  <cols>
    <col min="1" max="16384" width="9.140625" style="1"/>
  </cols>
  <sheetData>
    <row r="1" spans="1:55" x14ac:dyDescent="0.2">
      <c r="A1"/>
      <c r="B1" t="s">
        <v>513</v>
      </c>
      <c r="C1"/>
      <c r="D1" t="s">
        <v>608</v>
      </c>
      <c r="G1" s="1" t="s">
        <v>503</v>
      </c>
      <c r="H1" s="1" t="b">
        <v>0</v>
      </c>
      <c r="I1" s="1" t="b">
        <v>1</v>
      </c>
      <c r="J1" s="1" t="b">
        <v>1</v>
      </c>
      <c r="K1" s="1" t="b">
        <v>1</v>
      </c>
      <c r="L1" s="1" t="b">
        <v>1</v>
      </c>
      <c r="M1" s="1" t="b">
        <v>0</v>
      </c>
      <c r="N1" s="1">
        <v>7</v>
      </c>
      <c r="P1" t="str">
        <f>'Other mappings'!$A$13</f>
        <v>Module0</v>
      </c>
      <c r="Q1" t="s">
        <v>610</v>
      </c>
      <c r="S1" s="1" t="s">
        <v>612</v>
      </c>
      <c r="T1" s="1" t="s">
        <v>645</v>
      </c>
      <c r="U1" s="1" t="s">
        <v>532</v>
      </c>
      <c r="V1" s="1" t="s">
        <v>646</v>
      </c>
      <c r="W1" s="1" t="s">
        <v>534</v>
      </c>
      <c r="X1" s="1" t="s">
        <v>532</v>
      </c>
      <c r="Y1" s="1" t="s">
        <v>536</v>
      </c>
      <c r="Z1" s="1" t="s">
        <v>537</v>
      </c>
      <c r="AA1" s="1" t="s">
        <v>562</v>
      </c>
      <c r="AB1" s="1" t="s">
        <v>535</v>
      </c>
      <c r="AC1" s="1" t="s">
        <v>537</v>
      </c>
      <c r="AD1" s="1" t="s">
        <v>537</v>
      </c>
      <c r="AE1" s="1" t="s">
        <v>537</v>
      </c>
      <c r="AF1" s="1" t="s">
        <v>537</v>
      </c>
      <c r="AG1" s="1" t="s">
        <v>537</v>
      </c>
      <c r="AH1" s="1" t="s">
        <v>538</v>
      </c>
      <c r="AI1" s="1" t="s">
        <v>538</v>
      </c>
      <c r="AJ1" s="1" t="s">
        <v>538</v>
      </c>
      <c r="AL1" s="1" t="s">
        <v>612</v>
      </c>
      <c r="AM1" s="1" t="s">
        <v>578</v>
      </c>
      <c r="AN1" s="1" t="s">
        <v>532</v>
      </c>
      <c r="AO1" s="1" t="s">
        <v>571</v>
      </c>
      <c r="AP1" s="1" t="s">
        <v>534</v>
      </c>
      <c r="AQ1" s="1" t="s">
        <v>532</v>
      </c>
      <c r="AR1" s="1" t="s">
        <v>564</v>
      </c>
      <c r="AS1" s="1" t="s">
        <v>537</v>
      </c>
      <c r="AT1" s="1" t="s">
        <v>562</v>
      </c>
      <c r="AU1" s="1" t="s">
        <v>535</v>
      </c>
      <c r="AV1" s="1" t="s">
        <v>537</v>
      </c>
      <c r="AW1" s="1" t="s">
        <v>537</v>
      </c>
      <c r="AX1" s="1" t="s">
        <v>537</v>
      </c>
      <c r="AY1" s="1" t="s">
        <v>537</v>
      </c>
      <c r="AZ1" s="1" t="s">
        <v>537</v>
      </c>
      <c r="BA1" s="1" t="s">
        <v>538</v>
      </c>
      <c r="BB1" s="1" t="s">
        <v>538</v>
      </c>
      <c r="BC1" s="1" t="s">
        <v>538</v>
      </c>
    </row>
    <row r="2" spans="1:55" x14ac:dyDescent="0.2">
      <c r="A2"/>
      <c r="B2" t="s">
        <v>515</v>
      </c>
      <c r="C2"/>
      <c r="D2" t="s">
        <v>512</v>
      </c>
      <c r="N2" s="1">
        <v>214</v>
      </c>
      <c r="P2" t="str">
        <f>'Other mappings'!$E$13</f>
        <v xml:space="preserve">Description: </v>
      </c>
      <c r="Q2" t="s">
        <v>611</v>
      </c>
      <c r="S2" s="1" t="s">
        <v>612</v>
      </c>
      <c r="T2" s="1" t="s">
        <v>673</v>
      </c>
      <c r="U2" s="1" t="s">
        <v>540</v>
      </c>
      <c r="V2" s="1" t="s">
        <v>674</v>
      </c>
      <c r="W2" s="1" t="s">
        <v>534</v>
      </c>
      <c r="X2" s="1" t="s">
        <v>540</v>
      </c>
      <c r="Y2" s="1" t="s">
        <v>536</v>
      </c>
      <c r="Z2" s="1" t="s">
        <v>537</v>
      </c>
      <c r="AA2" s="1" t="s">
        <v>593</v>
      </c>
      <c r="AB2" s="1" t="s">
        <v>535</v>
      </c>
      <c r="AC2" s="1" t="s">
        <v>537</v>
      </c>
      <c r="AD2" s="1" t="s">
        <v>537</v>
      </c>
      <c r="AE2" s="1" t="s">
        <v>537</v>
      </c>
      <c r="AF2" s="1" t="s">
        <v>537</v>
      </c>
      <c r="AG2" s="1" t="s">
        <v>537</v>
      </c>
      <c r="AH2" s="1" t="s">
        <v>538</v>
      </c>
      <c r="AI2" s="1" t="s">
        <v>538</v>
      </c>
      <c r="AJ2" s="1" t="s">
        <v>538</v>
      </c>
      <c r="AL2" s="1" t="s">
        <v>612</v>
      </c>
      <c r="AM2" s="1" t="s">
        <v>601</v>
      </c>
      <c r="AN2" s="1" t="s">
        <v>540</v>
      </c>
      <c r="AO2" s="1" t="s">
        <v>596</v>
      </c>
      <c r="AP2" s="1" t="s">
        <v>534</v>
      </c>
      <c r="AQ2" s="1" t="s">
        <v>540</v>
      </c>
      <c r="AR2" s="1" t="s">
        <v>564</v>
      </c>
      <c r="AS2" s="1" t="s">
        <v>537</v>
      </c>
      <c r="AT2" s="1" t="s">
        <v>593</v>
      </c>
      <c r="AU2" s="1" t="s">
        <v>535</v>
      </c>
      <c r="AV2" s="1" t="s">
        <v>537</v>
      </c>
      <c r="AW2" s="1" t="s">
        <v>537</v>
      </c>
      <c r="AX2" s="1" t="s">
        <v>537</v>
      </c>
      <c r="AY2" s="1" t="s">
        <v>537</v>
      </c>
      <c r="AZ2" s="1" t="s">
        <v>537</v>
      </c>
      <c r="BA2" s="1" t="s">
        <v>538</v>
      </c>
      <c r="BB2" s="1" t="s">
        <v>538</v>
      </c>
      <c r="BC2" s="1" t="s">
        <v>538</v>
      </c>
    </row>
    <row r="3" spans="1:55" x14ac:dyDescent="0.2">
      <c r="A3"/>
      <c r="B3" t="s">
        <v>579</v>
      </c>
      <c r="C3"/>
      <c r="D3" t="s">
        <v>516</v>
      </c>
      <c r="N3" s="1" t="b">
        <v>0</v>
      </c>
      <c r="P3" t="str">
        <f>'Other mappings'!$A$3</f>
        <v>Module1</v>
      </c>
      <c r="Q3" t="s">
        <v>526</v>
      </c>
      <c r="S3" s="1" t="s">
        <v>612</v>
      </c>
      <c r="T3" s="1" t="s">
        <v>676</v>
      </c>
      <c r="U3" s="1" t="s">
        <v>582</v>
      </c>
      <c r="V3" s="1" t="s">
        <v>677</v>
      </c>
      <c r="W3" s="1" t="s">
        <v>534</v>
      </c>
      <c r="X3" s="1" t="s">
        <v>583</v>
      </c>
      <c r="Y3" s="1" t="s">
        <v>536</v>
      </c>
      <c r="Z3" s="1" t="s">
        <v>537</v>
      </c>
      <c r="AA3" s="1" t="s">
        <v>589</v>
      </c>
      <c r="AB3" s="1" t="s">
        <v>535</v>
      </c>
      <c r="AC3" s="1" t="s">
        <v>537</v>
      </c>
      <c r="AD3" s="1" t="s">
        <v>537</v>
      </c>
      <c r="AE3" s="1" t="s">
        <v>537</v>
      </c>
      <c r="AF3" s="1" t="s">
        <v>537</v>
      </c>
      <c r="AG3" s="1" t="s">
        <v>537</v>
      </c>
      <c r="AH3" s="1" t="s">
        <v>538</v>
      </c>
      <c r="AI3" s="1" t="s">
        <v>538</v>
      </c>
      <c r="AJ3" s="1" t="s">
        <v>538</v>
      </c>
      <c r="AL3" s="1" t="s">
        <v>612</v>
      </c>
      <c r="AM3" s="1" t="s">
        <v>602</v>
      </c>
      <c r="AN3" s="1" t="s">
        <v>582</v>
      </c>
      <c r="AO3" s="1" t="s">
        <v>591</v>
      </c>
      <c r="AP3" s="1" t="s">
        <v>534</v>
      </c>
      <c r="AQ3" s="1" t="s">
        <v>583</v>
      </c>
      <c r="AR3" s="1" t="s">
        <v>564</v>
      </c>
      <c r="AS3" s="1" t="s">
        <v>537</v>
      </c>
      <c r="AT3" s="1" t="s">
        <v>589</v>
      </c>
      <c r="AU3" s="1" t="s">
        <v>535</v>
      </c>
      <c r="AV3" s="1" t="s">
        <v>537</v>
      </c>
      <c r="AW3" s="1" t="s">
        <v>537</v>
      </c>
      <c r="AX3" s="1" t="s">
        <v>537</v>
      </c>
      <c r="AY3" s="1" t="s">
        <v>537</v>
      </c>
      <c r="AZ3" s="1" t="s">
        <v>537</v>
      </c>
      <c r="BA3" s="1" t="s">
        <v>538</v>
      </c>
      <c r="BB3" s="1" t="s">
        <v>538</v>
      </c>
      <c r="BC3" s="1" t="s">
        <v>538</v>
      </c>
    </row>
    <row r="4" spans="1:55" x14ac:dyDescent="0.2">
      <c r="A4"/>
      <c r="B4" t="s">
        <v>514</v>
      </c>
      <c r="C4"/>
      <c r="D4" t="s">
        <v>517</v>
      </c>
      <c r="P4" t="str">
        <f>'Other mappings'!$E$3</f>
        <v xml:space="preserve">Description: </v>
      </c>
      <c r="Q4" t="s">
        <v>527</v>
      </c>
      <c r="S4" s="1" t="s">
        <v>612</v>
      </c>
      <c r="T4" s="1" t="s">
        <v>670</v>
      </c>
      <c r="U4" s="1" t="s">
        <v>543</v>
      </c>
      <c r="V4" s="1" t="s">
        <v>671</v>
      </c>
      <c r="W4" s="1" t="s">
        <v>534</v>
      </c>
      <c r="X4" s="1" t="s">
        <v>543</v>
      </c>
      <c r="Y4" s="1" t="s">
        <v>536</v>
      </c>
      <c r="Z4" s="1" t="s">
        <v>537</v>
      </c>
      <c r="AA4" s="1" t="s">
        <v>595</v>
      </c>
      <c r="AB4" s="1" t="s">
        <v>535</v>
      </c>
      <c r="AC4" s="1" t="s">
        <v>537</v>
      </c>
      <c r="AD4" s="1" t="s">
        <v>537</v>
      </c>
      <c r="AE4" s="1" t="s">
        <v>537</v>
      </c>
      <c r="AF4" s="1" t="s">
        <v>537</v>
      </c>
      <c r="AG4" s="1" t="s">
        <v>537</v>
      </c>
      <c r="AH4" s="1" t="s">
        <v>538</v>
      </c>
      <c r="AI4" s="1" t="s">
        <v>538</v>
      </c>
      <c r="AJ4" s="1" t="s">
        <v>538</v>
      </c>
      <c r="AL4" s="1" t="s">
        <v>612</v>
      </c>
      <c r="AM4" s="1" t="s">
        <v>603</v>
      </c>
      <c r="AN4" s="1" t="s">
        <v>543</v>
      </c>
      <c r="AO4" s="1" t="s">
        <v>594</v>
      </c>
      <c r="AP4" s="1" t="s">
        <v>534</v>
      </c>
      <c r="AQ4" s="1" t="s">
        <v>543</v>
      </c>
      <c r="AR4" s="1" t="s">
        <v>564</v>
      </c>
      <c r="AS4" s="1" t="s">
        <v>537</v>
      </c>
      <c r="AT4" s="1" t="s">
        <v>595</v>
      </c>
      <c r="AU4" s="1" t="s">
        <v>535</v>
      </c>
      <c r="AV4" s="1" t="s">
        <v>537</v>
      </c>
      <c r="AW4" s="1" t="s">
        <v>537</v>
      </c>
      <c r="AX4" s="1" t="s">
        <v>537</v>
      </c>
      <c r="AY4" s="1" t="s">
        <v>537</v>
      </c>
      <c r="AZ4" s="1" t="s">
        <v>537</v>
      </c>
      <c r="BA4" s="1" t="s">
        <v>538</v>
      </c>
      <c r="BB4" s="1" t="s">
        <v>538</v>
      </c>
      <c r="BC4" s="1" t="s">
        <v>538</v>
      </c>
    </row>
    <row r="5" spans="1:55" x14ac:dyDescent="0.2">
      <c r="A5"/>
      <c r="B5" t="s">
        <v>513</v>
      </c>
      <c r="C5"/>
      <c r="D5" t="s">
        <v>667</v>
      </c>
      <c r="P5" t="str">
        <f>'Other mappings'!$A$8</f>
        <v>Module2</v>
      </c>
      <c r="Q5" t="s">
        <v>528</v>
      </c>
      <c r="S5" s="1" t="s">
        <v>530</v>
      </c>
      <c r="T5" s="1" t="s">
        <v>679</v>
      </c>
      <c r="U5" s="1" t="s">
        <v>532</v>
      </c>
      <c r="V5" s="1" t="s">
        <v>680</v>
      </c>
      <c r="W5" s="1" t="s">
        <v>534</v>
      </c>
      <c r="X5" s="1" t="s">
        <v>532</v>
      </c>
      <c r="Y5" s="1" t="s">
        <v>536</v>
      </c>
      <c r="Z5" s="1" t="s">
        <v>537</v>
      </c>
      <c r="AA5" s="1" t="s">
        <v>557</v>
      </c>
      <c r="AB5" s="1" t="s">
        <v>535</v>
      </c>
      <c r="AC5" s="1" t="s">
        <v>537</v>
      </c>
      <c r="AD5" s="1" t="s">
        <v>537</v>
      </c>
      <c r="AE5" s="1" t="s">
        <v>537</v>
      </c>
      <c r="AF5" s="1" t="s">
        <v>537</v>
      </c>
      <c r="AG5" s="1" t="s">
        <v>537</v>
      </c>
      <c r="AH5" s="1" t="s">
        <v>538</v>
      </c>
      <c r="AI5" s="1" t="s">
        <v>538</v>
      </c>
      <c r="AJ5" s="1" t="s">
        <v>538</v>
      </c>
      <c r="AL5" s="1" t="s">
        <v>530</v>
      </c>
      <c r="AM5" s="1" t="s">
        <v>572</v>
      </c>
      <c r="AN5" s="1" t="s">
        <v>532</v>
      </c>
      <c r="AO5" s="1" t="s">
        <v>563</v>
      </c>
      <c r="AP5" s="1" t="s">
        <v>534</v>
      </c>
      <c r="AQ5" s="1" t="s">
        <v>532</v>
      </c>
      <c r="AR5" s="1" t="s">
        <v>564</v>
      </c>
      <c r="AS5" s="1" t="s">
        <v>537</v>
      </c>
      <c r="AT5" s="1" t="s">
        <v>557</v>
      </c>
      <c r="AU5" s="1" t="s">
        <v>535</v>
      </c>
      <c r="AV5" s="1" t="s">
        <v>537</v>
      </c>
      <c r="AW5" s="1" t="s">
        <v>537</v>
      </c>
      <c r="AX5" s="1" t="s">
        <v>537</v>
      </c>
      <c r="AY5" s="1" t="s">
        <v>537</v>
      </c>
      <c r="AZ5" s="1" t="s">
        <v>537</v>
      </c>
      <c r="BA5" s="1" t="s">
        <v>538</v>
      </c>
      <c r="BB5" s="1" t="s">
        <v>538</v>
      </c>
      <c r="BC5" s="1" t="s">
        <v>538</v>
      </c>
    </row>
    <row r="6" spans="1:55" x14ac:dyDescent="0.2">
      <c r="A6"/>
      <c r="B6" t="s">
        <v>515</v>
      </c>
      <c r="C6"/>
      <c r="D6" t="s">
        <v>668</v>
      </c>
      <c r="P6" t="str">
        <f>'Other mappings'!$E$8</f>
        <v xml:space="preserve">Description: </v>
      </c>
      <c r="Q6" t="s">
        <v>529</v>
      </c>
      <c r="S6" s="1" t="s">
        <v>530</v>
      </c>
      <c r="T6" s="1" t="s">
        <v>698</v>
      </c>
      <c r="U6" s="1" t="s">
        <v>540</v>
      </c>
      <c r="V6" s="1" t="s">
        <v>699</v>
      </c>
      <c r="W6" s="1" t="s">
        <v>534</v>
      </c>
      <c r="X6" s="1" t="s">
        <v>540</v>
      </c>
      <c r="Y6" s="1" t="s">
        <v>536</v>
      </c>
      <c r="Z6" s="1" t="s">
        <v>537</v>
      </c>
      <c r="AA6" s="1" t="s">
        <v>558</v>
      </c>
      <c r="AB6" s="1" t="s">
        <v>535</v>
      </c>
      <c r="AC6" s="1" t="s">
        <v>537</v>
      </c>
      <c r="AD6" s="1" t="s">
        <v>537</v>
      </c>
      <c r="AE6" s="1" t="s">
        <v>537</v>
      </c>
      <c r="AF6" s="1" t="s">
        <v>537</v>
      </c>
      <c r="AG6" s="1" t="s">
        <v>537</v>
      </c>
      <c r="AH6" s="1" t="s">
        <v>538</v>
      </c>
      <c r="AI6" s="1" t="s">
        <v>538</v>
      </c>
      <c r="AJ6" s="1" t="s">
        <v>538</v>
      </c>
      <c r="AL6" s="1" t="s">
        <v>530</v>
      </c>
      <c r="AM6" s="1" t="s">
        <v>573</v>
      </c>
      <c r="AN6" s="1" t="s">
        <v>540</v>
      </c>
      <c r="AO6" s="1" t="s">
        <v>567</v>
      </c>
      <c r="AP6" s="1" t="s">
        <v>534</v>
      </c>
      <c r="AQ6" s="1" t="s">
        <v>540</v>
      </c>
      <c r="AR6" s="1" t="s">
        <v>564</v>
      </c>
      <c r="AS6" s="1" t="s">
        <v>537</v>
      </c>
      <c r="AT6" s="1" t="s">
        <v>558</v>
      </c>
      <c r="AU6" s="1" t="s">
        <v>535</v>
      </c>
      <c r="AV6" s="1" t="s">
        <v>537</v>
      </c>
      <c r="AW6" s="1" t="s">
        <v>537</v>
      </c>
      <c r="AX6" s="1" t="s">
        <v>537</v>
      </c>
      <c r="AY6" s="1" t="s">
        <v>537</v>
      </c>
      <c r="AZ6" s="1" t="s">
        <v>537</v>
      </c>
      <c r="BA6" s="1" t="s">
        <v>538</v>
      </c>
      <c r="BB6" s="1" t="s">
        <v>538</v>
      </c>
      <c r="BC6" s="1" t="s">
        <v>538</v>
      </c>
    </row>
    <row r="7" spans="1:55" x14ac:dyDescent="0.2">
      <c r="A7"/>
      <c r="B7" t="s">
        <v>579</v>
      </c>
      <c r="C7"/>
      <c r="D7" t="s">
        <v>669</v>
      </c>
      <c r="P7" t="str">
        <f>'Other mappings'!$A$18</f>
        <v>ModuleSettings</v>
      </c>
      <c r="Q7" t="s">
        <v>634</v>
      </c>
      <c r="S7" s="1" t="s">
        <v>530</v>
      </c>
      <c r="T7" s="1" t="s">
        <v>700</v>
      </c>
      <c r="U7" s="1" t="s">
        <v>582</v>
      </c>
      <c r="V7" s="1" t="s">
        <v>701</v>
      </c>
      <c r="W7" s="1" t="s">
        <v>534</v>
      </c>
      <c r="X7" s="1" t="s">
        <v>583</v>
      </c>
      <c r="Y7" s="1" t="s">
        <v>536</v>
      </c>
      <c r="Z7" s="1" t="s">
        <v>537</v>
      </c>
      <c r="AA7" s="1" t="s">
        <v>584</v>
      </c>
      <c r="AB7" s="1" t="s">
        <v>535</v>
      </c>
      <c r="AC7" s="1" t="s">
        <v>537</v>
      </c>
      <c r="AD7" s="1" t="s">
        <v>537</v>
      </c>
      <c r="AE7" s="1" t="s">
        <v>537</v>
      </c>
      <c r="AF7" s="1" t="s">
        <v>537</v>
      </c>
      <c r="AG7" s="1" t="s">
        <v>537</v>
      </c>
      <c r="AH7" s="1" t="s">
        <v>538</v>
      </c>
      <c r="AI7" s="1" t="s">
        <v>538</v>
      </c>
      <c r="AJ7" s="1" t="s">
        <v>538</v>
      </c>
      <c r="AL7" s="1" t="s">
        <v>530</v>
      </c>
      <c r="AM7" s="1" t="s">
        <v>598</v>
      </c>
      <c r="AN7" s="1" t="s">
        <v>582</v>
      </c>
      <c r="AO7" s="1" t="s">
        <v>590</v>
      </c>
      <c r="AP7" s="1" t="s">
        <v>534</v>
      </c>
      <c r="AQ7" s="1" t="s">
        <v>583</v>
      </c>
      <c r="AR7" s="1" t="s">
        <v>564</v>
      </c>
      <c r="AS7" s="1" t="s">
        <v>537</v>
      </c>
      <c r="AT7" s="1" t="s">
        <v>584</v>
      </c>
      <c r="AU7" s="1" t="s">
        <v>535</v>
      </c>
      <c r="AV7" s="1" t="s">
        <v>537</v>
      </c>
      <c r="AW7" s="1" t="s">
        <v>537</v>
      </c>
      <c r="AX7" s="1" t="s">
        <v>537</v>
      </c>
      <c r="AY7" s="1" t="s">
        <v>537</v>
      </c>
      <c r="AZ7" s="1" t="s">
        <v>537</v>
      </c>
      <c r="BA7" s="1" t="s">
        <v>538</v>
      </c>
      <c r="BB7" s="1" t="s">
        <v>538</v>
      </c>
      <c r="BC7" s="1" t="s">
        <v>538</v>
      </c>
    </row>
    <row r="8" spans="1:55" x14ac:dyDescent="0.2">
      <c r="A8"/>
      <c r="B8" t="s">
        <v>514</v>
      </c>
      <c r="C8"/>
      <c r="D8" t="s">
        <v>604</v>
      </c>
      <c r="P8" t="str">
        <f>'Other mappings'!$E$18</f>
        <v xml:space="preserve">Description: </v>
      </c>
      <c r="Q8" t="s">
        <v>635</v>
      </c>
      <c r="S8" s="1" t="s">
        <v>530</v>
      </c>
      <c r="T8" s="1" t="s">
        <v>702</v>
      </c>
      <c r="U8" s="1" t="s">
        <v>543</v>
      </c>
      <c r="V8" s="1" t="s">
        <v>703</v>
      </c>
      <c r="W8" s="1" t="s">
        <v>534</v>
      </c>
      <c r="X8" s="1" t="s">
        <v>543</v>
      </c>
      <c r="Y8" s="1" t="s">
        <v>536</v>
      </c>
      <c r="Z8" s="1" t="s">
        <v>537</v>
      </c>
      <c r="AA8" s="1" t="s">
        <v>566</v>
      </c>
      <c r="AB8" s="1" t="s">
        <v>535</v>
      </c>
      <c r="AC8" s="1" t="s">
        <v>537</v>
      </c>
      <c r="AD8" s="1" t="s">
        <v>537</v>
      </c>
      <c r="AE8" s="1" t="s">
        <v>537</v>
      </c>
      <c r="AF8" s="1" t="s">
        <v>537</v>
      </c>
      <c r="AG8" s="1" t="s">
        <v>537</v>
      </c>
      <c r="AH8" s="1" t="s">
        <v>538</v>
      </c>
      <c r="AI8" s="1" t="s">
        <v>538</v>
      </c>
      <c r="AJ8" s="1" t="s">
        <v>538</v>
      </c>
      <c r="AL8" s="1" t="s">
        <v>530</v>
      </c>
      <c r="AM8" s="1" t="s">
        <v>574</v>
      </c>
      <c r="AN8" s="1" t="s">
        <v>543</v>
      </c>
      <c r="AO8" s="1" t="s">
        <v>565</v>
      </c>
      <c r="AP8" s="1" t="s">
        <v>534</v>
      </c>
      <c r="AQ8" s="1" t="s">
        <v>543</v>
      </c>
      <c r="AR8" s="1" t="s">
        <v>564</v>
      </c>
      <c r="AS8" s="1" t="s">
        <v>537</v>
      </c>
      <c r="AT8" s="1" t="s">
        <v>566</v>
      </c>
      <c r="AU8" s="1" t="s">
        <v>535</v>
      </c>
      <c r="AV8" s="1" t="s">
        <v>537</v>
      </c>
      <c r="AW8" s="1" t="s">
        <v>537</v>
      </c>
      <c r="AX8" s="1" t="s">
        <v>537</v>
      </c>
      <c r="AY8" s="1" t="s">
        <v>537</v>
      </c>
      <c r="AZ8" s="1" t="s">
        <v>537</v>
      </c>
      <c r="BA8" s="1" t="s">
        <v>538</v>
      </c>
      <c r="BB8" s="1" t="s">
        <v>538</v>
      </c>
      <c r="BC8" s="1" t="s">
        <v>538</v>
      </c>
    </row>
    <row r="9" spans="1:55" x14ac:dyDescent="0.2">
      <c r="A9"/>
      <c r="B9" t="s">
        <v>513</v>
      </c>
      <c r="C9"/>
      <c r="S9" s="1" t="s">
        <v>547</v>
      </c>
      <c r="T9" s="1" t="s">
        <v>704</v>
      </c>
      <c r="U9" s="1" t="s">
        <v>532</v>
      </c>
      <c r="V9" s="1" t="s">
        <v>705</v>
      </c>
      <c r="W9" s="1" t="s">
        <v>534</v>
      </c>
      <c r="X9" s="1" t="s">
        <v>532</v>
      </c>
      <c r="Y9" s="1" t="s">
        <v>536</v>
      </c>
      <c r="Z9" s="1" t="s">
        <v>537</v>
      </c>
      <c r="AA9" s="1" t="s">
        <v>560</v>
      </c>
      <c r="AB9" s="1" t="s">
        <v>535</v>
      </c>
      <c r="AC9" s="1" t="s">
        <v>537</v>
      </c>
      <c r="AD9" s="1" t="s">
        <v>537</v>
      </c>
      <c r="AE9" s="1" t="s">
        <v>537</v>
      </c>
      <c r="AF9" s="1" t="s">
        <v>537</v>
      </c>
      <c r="AG9" s="1" t="s">
        <v>537</v>
      </c>
      <c r="AH9" s="1" t="s">
        <v>538</v>
      </c>
      <c r="AI9" s="1" t="s">
        <v>538</v>
      </c>
      <c r="AJ9" s="1" t="s">
        <v>538</v>
      </c>
      <c r="AL9" s="1" t="s">
        <v>547</v>
      </c>
      <c r="AM9" s="1" t="s">
        <v>576</v>
      </c>
      <c r="AN9" s="1" t="s">
        <v>532</v>
      </c>
      <c r="AO9" s="1" t="s">
        <v>568</v>
      </c>
      <c r="AP9" s="1" t="s">
        <v>534</v>
      </c>
      <c r="AQ9" s="1" t="s">
        <v>532</v>
      </c>
      <c r="AR9" s="1" t="s">
        <v>564</v>
      </c>
      <c r="AS9" s="1" t="s">
        <v>537</v>
      </c>
      <c r="AT9" s="1" t="s">
        <v>560</v>
      </c>
      <c r="AU9" s="1" t="s">
        <v>535</v>
      </c>
      <c r="AV9" s="1" t="s">
        <v>537</v>
      </c>
      <c r="AW9" s="1" t="s">
        <v>537</v>
      </c>
      <c r="AX9" s="1" t="s">
        <v>537</v>
      </c>
      <c r="AY9" s="1" t="s">
        <v>537</v>
      </c>
      <c r="AZ9" s="1" t="s">
        <v>537</v>
      </c>
      <c r="BA9" s="1" t="s">
        <v>538</v>
      </c>
      <c r="BB9" s="1" t="s">
        <v>538</v>
      </c>
      <c r="BC9" s="1" t="s">
        <v>538</v>
      </c>
    </row>
    <row r="10" spans="1:55" x14ac:dyDescent="0.2">
      <c r="A10"/>
      <c r="B10" t="s">
        <v>515</v>
      </c>
      <c r="C10"/>
      <c r="S10" s="1" t="s">
        <v>547</v>
      </c>
      <c r="T10" s="1" t="s">
        <v>706</v>
      </c>
      <c r="U10" s="1" t="s">
        <v>540</v>
      </c>
      <c r="V10" s="1" t="s">
        <v>707</v>
      </c>
      <c r="W10" s="1" t="s">
        <v>534</v>
      </c>
      <c r="X10" s="1" t="s">
        <v>540</v>
      </c>
      <c r="Y10" s="1" t="s">
        <v>536</v>
      </c>
      <c r="Z10" s="1" t="s">
        <v>537</v>
      </c>
      <c r="AA10" s="1" t="s">
        <v>592</v>
      </c>
      <c r="AB10" s="1" t="s">
        <v>535</v>
      </c>
      <c r="AC10" s="1" t="s">
        <v>537</v>
      </c>
      <c r="AD10" s="1" t="s">
        <v>537</v>
      </c>
      <c r="AE10" s="1" t="s">
        <v>537</v>
      </c>
      <c r="AF10" s="1" t="s">
        <v>537</v>
      </c>
      <c r="AG10" s="1" t="s">
        <v>537</v>
      </c>
      <c r="AH10" s="1" t="s">
        <v>538</v>
      </c>
      <c r="AI10" s="1" t="s">
        <v>538</v>
      </c>
      <c r="AJ10" s="1" t="s">
        <v>538</v>
      </c>
      <c r="AL10" s="1" t="s">
        <v>547</v>
      </c>
      <c r="AM10" s="1" t="s">
        <v>599</v>
      </c>
      <c r="AN10" s="1" t="s">
        <v>540</v>
      </c>
      <c r="AO10" s="1" t="s">
        <v>600</v>
      </c>
      <c r="AP10" s="1" t="s">
        <v>534</v>
      </c>
      <c r="AQ10" s="1" t="s">
        <v>540</v>
      </c>
      <c r="AR10" s="1" t="s">
        <v>564</v>
      </c>
      <c r="AS10" s="1" t="s">
        <v>537</v>
      </c>
      <c r="AT10" s="1" t="s">
        <v>592</v>
      </c>
      <c r="AU10" s="1" t="s">
        <v>535</v>
      </c>
      <c r="AV10" s="1" t="s">
        <v>537</v>
      </c>
      <c r="AW10" s="1" t="s">
        <v>537</v>
      </c>
      <c r="AX10" s="1" t="s">
        <v>537</v>
      </c>
      <c r="AY10" s="1" t="s">
        <v>537</v>
      </c>
      <c r="AZ10" s="1" t="s">
        <v>537</v>
      </c>
      <c r="BA10" s="1" t="s">
        <v>538</v>
      </c>
      <c r="BB10" s="1" t="s">
        <v>538</v>
      </c>
      <c r="BC10" s="1" t="s">
        <v>538</v>
      </c>
    </row>
    <row r="11" spans="1:55" x14ac:dyDescent="0.2">
      <c r="A11"/>
      <c r="B11" t="s">
        <v>579</v>
      </c>
      <c r="C11"/>
      <c r="S11" s="1" t="s">
        <v>547</v>
      </c>
      <c r="T11" s="1" t="s">
        <v>708</v>
      </c>
      <c r="U11" s="1" t="s">
        <v>582</v>
      </c>
      <c r="V11" s="1" t="s">
        <v>709</v>
      </c>
      <c r="W11" s="1" t="s">
        <v>534</v>
      </c>
      <c r="X11" s="1" t="s">
        <v>583</v>
      </c>
      <c r="Y11" s="1" t="s">
        <v>536</v>
      </c>
      <c r="Z11" s="1" t="s">
        <v>537</v>
      </c>
      <c r="AA11" s="1" t="s">
        <v>561</v>
      </c>
      <c r="AB11" s="1" t="s">
        <v>535</v>
      </c>
      <c r="AC11" s="1" t="s">
        <v>537</v>
      </c>
      <c r="AD11" s="1" t="s">
        <v>537</v>
      </c>
      <c r="AE11" s="1" t="s">
        <v>537</v>
      </c>
      <c r="AF11" s="1" t="s">
        <v>537</v>
      </c>
      <c r="AG11" s="1" t="s">
        <v>537</v>
      </c>
      <c r="AH11" s="1" t="s">
        <v>538</v>
      </c>
      <c r="AI11" s="1" t="s">
        <v>538</v>
      </c>
      <c r="AJ11" s="1" t="s">
        <v>538</v>
      </c>
      <c r="AL11" s="1" t="s">
        <v>547</v>
      </c>
      <c r="AM11" s="1" t="s">
        <v>577</v>
      </c>
      <c r="AN11" s="1" t="s">
        <v>582</v>
      </c>
      <c r="AO11" s="1" t="s">
        <v>570</v>
      </c>
      <c r="AP11" s="1" t="s">
        <v>534</v>
      </c>
      <c r="AQ11" s="1" t="s">
        <v>583</v>
      </c>
      <c r="AR11" s="1" t="s">
        <v>564</v>
      </c>
      <c r="AS11" s="1" t="s">
        <v>537</v>
      </c>
      <c r="AT11" s="1" t="s">
        <v>561</v>
      </c>
      <c r="AU11" s="1" t="s">
        <v>535</v>
      </c>
      <c r="AV11" s="1" t="s">
        <v>537</v>
      </c>
      <c r="AW11" s="1" t="s">
        <v>537</v>
      </c>
      <c r="AX11" s="1" t="s">
        <v>537</v>
      </c>
      <c r="AY11" s="1" t="s">
        <v>537</v>
      </c>
      <c r="AZ11" s="1" t="s">
        <v>537</v>
      </c>
      <c r="BA11" s="1" t="s">
        <v>538</v>
      </c>
      <c r="BB11" s="1" t="s">
        <v>538</v>
      </c>
      <c r="BC11" s="1" t="s">
        <v>538</v>
      </c>
    </row>
    <row r="12" spans="1:55" x14ac:dyDescent="0.2">
      <c r="A12"/>
      <c r="B12" t="s">
        <v>514</v>
      </c>
      <c r="C12"/>
      <c r="S12" s="1" t="s">
        <v>547</v>
      </c>
      <c r="T12" s="1" t="s">
        <v>710</v>
      </c>
      <c r="U12" s="1" t="s">
        <v>543</v>
      </c>
      <c r="V12" s="1" t="s">
        <v>711</v>
      </c>
      <c r="W12" s="1" t="s">
        <v>534</v>
      </c>
      <c r="X12" s="1" t="s">
        <v>543</v>
      </c>
      <c r="Y12" s="1" t="s">
        <v>536</v>
      </c>
      <c r="Z12" s="1" t="s">
        <v>537</v>
      </c>
      <c r="AA12" s="1" t="s">
        <v>559</v>
      </c>
      <c r="AB12" s="1" t="s">
        <v>535</v>
      </c>
      <c r="AC12" s="1" t="s">
        <v>537</v>
      </c>
      <c r="AD12" s="1" t="s">
        <v>537</v>
      </c>
      <c r="AE12" s="1" t="s">
        <v>537</v>
      </c>
      <c r="AF12" s="1" t="s">
        <v>537</v>
      </c>
      <c r="AG12" s="1" t="s">
        <v>537</v>
      </c>
      <c r="AH12" s="1" t="s">
        <v>538</v>
      </c>
      <c r="AI12" s="1" t="s">
        <v>538</v>
      </c>
      <c r="AJ12" s="1" t="s">
        <v>538</v>
      </c>
      <c r="AL12" s="1" t="s">
        <v>547</v>
      </c>
      <c r="AM12" s="1" t="s">
        <v>575</v>
      </c>
      <c r="AN12" s="1" t="s">
        <v>543</v>
      </c>
      <c r="AO12" s="1" t="s">
        <v>569</v>
      </c>
      <c r="AP12" s="1" t="s">
        <v>534</v>
      </c>
      <c r="AQ12" s="1" t="s">
        <v>543</v>
      </c>
      <c r="AR12" s="1" t="s">
        <v>564</v>
      </c>
      <c r="AS12" s="1" t="s">
        <v>537</v>
      </c>
      <c r="AT12" s="1" t="s">
        <v>559</v>
      </c>
      <c r="AU12" s="1" t="s">
        <v>535</v>
      </c>
      <c r="AV12" s="1" t="s">
        <v>537</v>
      </c>
      <c r="AW12" s="1" t="s">
        <v>537</v>
      </c>
      <c r="AX12" s="1" t="s">
        <v>537</v>
      </c>
      <c r="AY12" s="1" t="s">
        <v>537</v>
      </c>
      <c r="AZ12" s="1" t="s">
        <v>537</v>
      </c>
      <c r="BA12" s="1" t="s">
        <v>538</v>
      </c>
      <c r="BB12" s="1" t="s">
        <v>538</v>
      </c>
      <c r="BC12" s="1" t="s">
        <v>538</v>
      </c>
    </row>
    <row r="13" spans="1:55" x14ac:dyDescent="0.2">
      <c r="A13"/>
      <c r="B13" t="s">
        <v>513</v>
      </c>
      <c r="C13"/>
      <c r="S13" s="1" t="s">
        <v>550</v>
      </c>
      <c r="T13" s="1" t="s">
        <v>712</v>
      </c>
      <c r="U13" s="1" t="s">
        <v>532</v>
      </c>
      <c r="V13" s="1" t="s">
        <v>713</v>
      </c>
      <c r="W13" s="1" t="s">
        <v>534</v>
      </c>
      <c r="X13" s="1" t="s">
        <v>532</v>
      </c>
      <c r="Y13" s="1" t="s">
        <v>536</v>
      </c>
      <c r="Z13" s="1" t="s">
        <v>537</v>
      </c>
      <c r="AA13" s="1" t="s">
        <v>535</v>
      </c>
      <c r="AB13" s="1" t="s">
        <v>535</v>
      </c>
      <c r="AC13" s="1" t="s">
        <v>537</v>
      </c>
      <c r="AD13" s="1" t="s">
        <v>537</v>
      </c>
      <c r="AE13" s="1" t="s">
        <v>537</v>
      </c>
      <c r="AF13" s="1" t="s">
        <v>537</v>
      </c>
      <c r="AG13" s="1" t="s">
        <v>537</v>
      </c>
      <c r="AH13" s="1" t="s">
        <v>538</v>
      </c>
      <c r="AI13" s="1" t="s">
        <v>538</v>
      </c>
      <c r="AJ13" s="1" t="s">
        <v>537</v>
      </c>
      <c r="AL13" s="1" t="s">
        <v>625</v>
      </c>
      <c r="AM13" s="1" t="s">
        <v>654</v>
      </c>
      <c r="AN13" s="1" t="s">
        <v>649</v>
      </c>
      <c r="AO13" s="1" t="s">
        <v>629</v>
      </c>
      <c r="AP13" s="1" t="s">
        <v>534</v>
      </c>
      <c r="AQ13" s="1" t="s">
        <v>535</v>
      </c>
      <c r="AR13" s="1" t="s">
        <v>564</v>
      </c>
      <c r="AS13" s="1" t="s">
        <v>537</v>
      </c>
      <c r="AT13" s="1" t="s">
        <v>613</v>
      </c>
      <c r="AU13" s="1" t="s">
        <v>535</v>
      </c>
      <c r="AV13" s="1" t="s">
        <v>537</v>
      </c>
      <c r="AW13" s="1" t="s">
        <v>537</v>
      </c>
      <c r="AX13" s="1" t="s">
        <v>537</v>
      </c>
      <c r="AY13" s="1" t="s">
        <v>537</v>
      </c>
      <c r="AZ13" s="1" t="s">
        <v>537</v>
      </c>
      <c r="BA13" s="1" t="s">
        <v>538</v>
      </c>
      <c r="BB13" s="1" t="s">
        <v>538</v>
      </c>
      <c r="BC13" s="1" t="s">
        <v>538</v>
      </c>
    </row>
    <row r="14" spans="1:55" x14ac:dyDescent="0.2">
      <c r="A14"/>
      <c r="B14" t="s">
        <v>514</v>
      </c>
      <c r="C14"/>
      <c r="S14" s="1" t="s">
        <v>672</v>
      </c>
      <c r="T14" s="1" t="s">
        <v>714</v>
      </c>
      <c r="U14" s="1" t="s">
        <v>543</v>
      </c>
      <c r="V14" s="1" t="s">
        <v>715</v>
      </c>
      <c r="W14" s="1" t="s">
        <v>534</v>
      </c>
      <c r="X14" s="1" t="s">
        <v>543</v>
      </c>
      <c r="Y14" s="1" t="s">
        <v>536</v>
      </c>
      <c r="Z14" s="1" t="s">
        <v>537</v>
      </c>
      <c r="AA14" s="1" t="s">
        <v>535</v>
      </c>
      <c r="AB14" s="1" t="s">
        <v>535</v>
      </c>
      <c r="AC14" s="1" t="s">
        <v>537</v>
      </c>
      <c r="AD14" s="1" t="s">
        <v>537</v>
      </c>
      <c r="AE14" s="1" t="s">
        <v>537</v>
      </c>
      <c r="AF14" s="1" t="s">
        <v>537</v>
      </c>
      <c r="AG14" s="1" t="s">
        <v>537</v>
      </c>
      <c r="AH14" s="1" t="s">
        <v>538</v>
      </c>
      <c r="AI14" s="1" t="s">
        <v>538</v>
      </c>
      <c r="AJ14" s="1" t="s">
        <v>537</v>
      </c>
      <c r="AL14" s="1" t="s">
        <v>625</v>
      </c>
      <c r="AM14" s="1" t="s">
        <v>653</v>
      </c>
      <c r="AN14" s="1" t="s">
        <v>650</v>
      </c>
      <c r="AO14" s="1" t="s">
        <v>630</v>
      </c>
      <c r="AP14" s="1" t="s">
        <v>534</v>
      </c>
      <c r="AQ14" s="1" t="s">
        <v>535</v>
      </c>
      <c r="AR14" s="1" t="s">
        <v>564</v>
      </c>
      <c r="AS14" s="1" t="s">
        <v>537</v>
      </c>
      <c r="AT14" s="1" t="s">
        <v>616</v>
      </c>
      <c r="AU14" s="1" t="s">
        <v>535</v>
      </c>
      <c r="AV14" s="1" t="s">
        <v>537</v>
      </c>
      <c r="AW14" s="1" t="s">
        <v>537</v>
      </c>
      <c r="AX14" s="1" t="s">
        <v>537</v>
      </c>
      <c r="AY14" s="1" t="s">
        <v>537</v>
      </c>
      <c r="AZ14" s="1" t="s">
        <v>537</v>
      </c>
      <c r="BA14" s="1" t="s">
        <v>538</v>
      </c>
      <c r="BB14" s="1" t="s">
        <v>538</v>
      </c>
      <c r="BC14" s="1" t="s">
        <v>538</v>
      </c>
    </row>
    <row r="15" spans="1:55" x14ac:dyDescent="0.2">
      <c r="A15"/>
      <c r="B15" t="s">
        <v>515</v>
      </c>
      <c r="C15"/>
      <c r="S15" s="1" t="s">
        <v>675</v>
      </c>
      <c r="T15" s="1" t="s">
        <v>716</v>
      </c>
      <c r="U15" s="1" t="s">
        <v>540</v>
      </c>
      <c r="V15" s="1" t="s">
        <v>717</v>
      </c>
      <c r="W15" s="1" t="s">
        <v>534</v>
      </c>
      <c r="X15" s="1" t="s">
        <v>540</v>
      </c>
      <c r="Y15" s="1" t="s">
        <v>536</v>
      </c>
      <c r="Z15" s="1" t="s">
        <v>537</v>
      </c>
      <c r="AA15" s="1" t="s">
        <v>535</v>
      </c>
      <c r="AB15" s="1" t="s">
        <v>535</v>
      </c>
      <c r="AC15" s="1" t="s">
        <v>537</v>
      </c>
      <c r="AD15" s="1" t="s">
        <v>537</v>
      </c>
      <c r="AE15" s="1" t="s">
        <v>537</v>
      </c>
      <c r="AF15" s="1" t="s">
        <v>537</v>
      </c>
      <c r="AG15" s="1" t="s">
        <v>537</v>
      </c>
      <c r="AH15" s="1" t="s">
        <v>538</v>
      </c>
      <c r="AI15" s="1" t="s">
        <v>538</v>
      </c>
      <c r="AJ15" s="1" t="s">
        <v>537</v>
      </c>
      <c r="AL15" s="1" t="s">
        <v>625</v>
      </c>
      <c r="AM15" s="1" t="s">
        <v>661</v>
      </c>
      <c r="AN15" s="1" t="s">
        <v>651</v>
      </c>
      <c r="AO15" s="1" t="s">
        <v>631</v>
      </c>
      <c r="AP15" s="1" t="s">
        <v>534</v>
      </c>
      <c r="AQ15" s="1" t="s">
        <v>535</v>
      </c>
      <c r="AR15" s="1" t="s">
        <v>564</v>
      </c>
      <c r="AS15" s="1" t="s">
        <v>537</v>
      </c>
      <c r="AT15" s="1" t="s">
        <v>614</v>
      </c>
      <c r="AU15" s="1" t="s">
        <v>535</v>
      </c>
      <c r="AV15" s="1" t="s">
        <v>537</v>
      </c>
      <c r="AW15" s="1" t="s">
        <v>537</v>
      </c>
      <c r="AX15" s="1" t="s">
        <v>537</v>
      </c>
      <c r="AY15" s="1" t="s">
        <v>537</v>
      </c>
      <c r="AZ15" s="1" t="s">
        <v>537</v>
      </c>
      <c r="BA15" s="1" t="s">
        <v>538</v>
      </c>
      <c r="BB15" s="1" t="s">
        <v>538</v>
      </c>
      <c r="BC15" s="1" t="s">
        <v>538</v>
      </c>
    </row>
    <row r="16" spans="1:55" x14ac:dyDescent="0.2">
      <c r="A16"/>
      <c r="B16" t="s">
        <v>579</v>
      </c>
      <c r="C16"/>
      <c r="S16" s="1" t="s">
        <v>678</v>
      </c>
      <c r="T16" s="1" t="s">
        <v>718</v>
      </c>
      <c r="U16" s="1" t="s">
        <v>582</v>
      </c>
      <c r="V16" s="1" t="s">
        <v>719</v>
      </c>
      <c r="W16" s="1" t="s">
        <v>534</v>
      </c>
      <c r="X16" s="1" t="s">
        <v>583</v>
      </c>
      <c r="Y16" s="1" t="s">
        <v>536</v>
      </c>
      <c r="Z16" s="1" t="s">
        <v>537</v>
      </c>
      <c r="AA16" s="1" t="s">
        <v>535</v>
      </c>
      <c r="AB16" s="1" t="s">
        <v>535</v>
      </c>
      <c r="AC16" s="1" t="s">
        <v>537</v>
      </c>
      <c r="AD16" s="1" t="s">
        <v>537</v>
      </c>
      <c r="AE16" s="1" t="s">
        <v>537</v>
      </c>
      <c r="AF16" s="1" t="s">
        <v>537</v>
      </c>
      <c r="AG16" s="1" t="s">
        <v>537</v>
      </c>
      <c r="AH16" s="1" t="s">
        <v>538</v>
      </c>
      <c r="AI16" s="1" t="s">
        <v>538</v>
      </c>
      <c r="AJ16" s="1" t="s">
        <v>537</v>
      </c>
      <c r="AL16" s="1" t="s">
        <v>625</v>
      </c>
      <c r="AM16" s="1" t="s">
        <v>662</v>
      </c>
      <c r="AN16" s="1" t="s">
        <v>652</v>
      </c>
      <c r="AO16" s="1" t="s">
        <v>632</v>
      </c>
      <c r="AP16" s="1" t="s">
        <v>534</v>
      </c>
      <c r="AQ16" s="1" t="s">
        <v>535</v>
      </c>
      <c r="AR16" s="1" t="s">
        <v>564</v>
      </c>
      <c r="AS16" s="1" t="s">
        <v>537</v>
      </c>
      <c r="AT16" s="1" t="s">
        <v>615</v>
      </c>
      <c r="AU16" s="1" t="s">
        <v>535</v>
      </c>
      <c r="AV16" s="1" t="s">
        <v>537</v>
      </c>
      <c r="AW16" s="1" t="s">
        <v>537</v>
      </c>
      <c r="AX16" s="1" t="s">
        <v>537</v>
      </c>
      <c r="AY16" s="1" t="s">
        <v>537</v>
      </c>
      <c r="AZ16" s="1" t="s">
        <v>537</v>
      </c>
      <c r="BA16" s="1" t="s">
        <v>538</v>
      </c>
      <c r="BB16" s="1" t="s">
        <v>538</v>
      </c>
      <c r="BC16" s="1" t="s">
        <v>538</v>
      </c>
    </row>
    <row r="17" spans="1:55" x14ac:dyDescent="0.2">
      <c r="A17"/>
      <c r="B17" t="s">
        <v>637</v>
      </c>
      <c r="C17"/>
      <c r="S17" s="1" t="s">
        <v>625</v>
      </c>
      <c r="T17" s="1" t="s">
        <v>531</v>
      </c>
      <c r="U17" s="1" t="s">
        <v>649</v>
      </c>
      <c r="V17" s="1" t="s">
        <v>533</v>
      </c>
      <c r="W17" s="1" t="s">
        <v>534</v>
      </c>
      <c r="X17" s="1" t="s">
        <v>535</v>
      </c>
      <c r="Y17" s="1" t="s">
        <v>536</v>
      </c>
      <c r="Z17" s="1" t="s">
        <v>537</v>
      </c>
      <c r="AA17" s="1" t="s">
        <v>613</v>
      </c>
      <c r="AB17" s="1" t="s">
        <v>535</v>
      </c>
      <c r="AC17" s="1" t="s">
        <v>537</v>
      </c>
      <c r="AD17" s="1" t="s">
        <v>537</v>
      </c>
      <c r="AE17" s="1" t="s">
        <v>537</v>
      </c>
      <c r="AF17" s="1" t="s">
        <v>537</v>
      </c>
      <c r="AG17" s="1" t="s">
        <v>537</v>
      </c>
      <c r="AH17" s="1" t="s">
        <v>538</v>
      </c>
      <c r="AI17" s="1" t="s">
        <v>538</v>
      </c>
      <c r="AJ17" s="1" t="s">
        <v>538</v>
      </c>
      <c r="AL17" s="1" t="s">
        <v>625</v>
      </c>
      <c r="AM17" s="1" t="s">
        <v>663</v>
      </c>
      <c r="AN17" s="1" t="s">
        <v>720</v>
      </c>
      <c r="AO17" s="1" t="s">
        <v>658</v>
      </c>
      <c r="AP17" s="1" t="s">
        <v>534</v>
      </c>
      <c r="AQ17" s="1" t="s">
        <v>535</v>
      </c>
      <c r="AR17" s="1" t="s">
        <v>564</v>
      </c>
      <c r="AS17" s="1" t="s">
        <v>537</v>
      </c>
      <c r="AT17" s="1" t="s">
        <v>655</v>
      </c>
      <c r="AU17" s="1" t="s">
        <v>535</v>
      </c>
      <c r="AV17" s="1" t="s">
        <v>537</v>
      </c>
      <c r="AW17" s="1" t="s">
        <v>537</v>
      </c>
      <c r="AX17" s="1" t="s">
        <v>537</v>
      </c>
      <c r="AY17" s="1" t="s">
        <v>537</v>
      </c>
      <c r="AZ17" s="1" t="s">
        <v>537</v>
      </c>
      <c r="BA17" s="1" t="s">
        <v>538</v>
      </c>
      <c r="BB17" s="1" t="s">
        <v>538</v>
      </c>
      <c r="BC17" s="1" t="s">
        <v>538</v>
      </c>
    </row>
    <row r="18" spans="1:55" x14ac:dyDescent="0.2">
      <c r="A18"/>
      <c r="B18" t="s">
        <v>638</v>
      </c>
      <c r="C18"/>
      <c r="S18" s="1" t="s">
        <v>625</v>
      </c>
      <c r="T18" s="1" t="s">
        <v>545</v>
      </c>
      <c r="U18" s="1" t="s">
        <v>650</v>
      </c>
      <c r="V18" s="1" t="s">
        <v>546</v>
      </c>
      <c r="W18" s="1" t="s">
        <v>534</v>
      </c>
      <c r="X18" s="1" t="s">
        <v>535</v>
      </c>
      <c r="Y18" s="1" t="s">
        <v>536</v>
      </c>
      <c r="Z18" s="1" t="s">
        <v>537</v>
      </c>
      <c r="AA18" s="1" t="s">
        <v>616</v>
      </c>
      <c r="AB18" s="1" t="s">
        <v>535</v>
      </c>
      <c r="AC18" s="1" t="s">
        <v>537</v>
      </c>
      <c r="AD18" s="1" t="s">
        <v>537</v>
      </c>
      <c r="AE18" s="1" t="s">
        <v>537</v>
      </c>
      <c r="AF18" s="1" t="s">
        <v>537</v>
      </c>
      <c r="AG18" s="1" t="s">
        <v>537</v>
      </c>
      <c r="AH18" s="1" t="s">
        <v>538</v>
      </c>
      <c r="AI18" s="1" t="s">
        <v>538</v>
      </c>
      <c r="AJ18" s="1" t="s">
        <v>538</v>
      </c>
      <c r="AL18" s="1" t="s">
        <v>625</v>
      </c>
      <c r="AM18" s="1" t="s">
        <v>664</v>
      </c>
      <c r="AN18" s="1" t="s">
        <v>722</v>
      </c>
      <c r="AO18" s="1" t="s">
        <v>657</v>
      </c>
      <c r="AP18" s="1" t="s">
        <v>534</v>
      </c>
      <c r="AQ18" s="1" t="s">
        <v>535</v>
      </c>
      <c r="AR18" s="1" t="s">
        <v>564</v>
      </c>
      <c r="AS18" s="1" t="s">
        <v>537</v>
      </c>
      <c r="AT18" s="1" t="s">
        <v>656</v>
      </c>
      <c r="AU18" s="1" t="s">
        <v>535</v>
      </c>
      <c r="AV18" s="1" t="s">
        <v>537</v>
      </c>
      <c r="AW18" s="1" t="s">
        <v>537</v>
      </c>
      <c r="AX18" s="1" t="s">
        <v>537</v>
      </c>
      <c r="AY18" s="1" t="s">
        <v>537</v>
      </c>
      <c r="AZ18" s="1" t="s">
        <v>537</v>
      </c>
      <c r="BA18" s="1" t="s">
        <v>538</v>
      </c>
      <c r="BB18" s="1" t="s">
        <v>538</v>
      </c>
      <c r="BC18" s="1" t="s">
        <v>538</v>
      </c>
    </row>
    <row r="19" spans="1:55" x14ac:dyDescent="0.2">
      <c r="A19"/>
      <c r="B19" t="s">
        <v>639</v>
      </c>
      <c r="C19"/>
      <c r="S19" s="1" t="s">
        <v>625</v>
      </c>
      <c r="T19" s="1" t="s">
        <v>539</v>
      </c>
      <c r="U19" s="1" t="s">
        <v>651</v>
      </c>
      <c r="V19" s="1" t="s">
        <v>541</v>
      </c>
      <c r="W19" s="1" t="s">
        <v>534</v>
      </c>
      <c r="X19" s="1" t="s">
        <v>535</v>
      </c>
      <c r="Y19" s="1" t="s">
        <v>536</v>
      </c>
      <c r="Z19" s="1" t="s">
        <v>537</v>
      </c>
      <c r="AA19" s="1" t="s">
        <v>614</v>
      </c>
      <c r="AB19" s="1" t="s">
        <v>535</v>
      </c>
      <c r="AC19" s="1" t="s">
        <v>537</v>
      </c>
      <c r="AD19" s="1" t="s">
        <v>537</v>
      </c>
      <c r="AE19" s="1" t="s">
        <v>537</v>
      </c>
      <c r="AF19" s="1" t="s">
        <v>537</v>
      </c>
      <c r="AG19" s="1" t="s">
        <v>537</v>
      </c>
      <c r="AH19" s="1" t="s">
        <v>538</v>
      </c>
      <c r="AI19" s="1" t="s">
        <v>538</v>
      </c>
      <c r="AJ19" s="1" t="s">
        <v>538</v>
      </c>
      <c r="AL19" s="1" t="s">
        <v>625</v>
      </c>
      <c r="AM19" s="1" t="s">
        <v>681</v>
      </c>
      <c r="AN19" s="1" t="s">
        <v>724</v>
      </c>
      <c r="AO19" s="1" t="s">
        <v>665</v>
      </c>
      <c r="AP19" s="1" t="s">
        <v>534</v>
      </c>
      <c r="AQ19" s="1" t="s">
        <v>535</v>
      </c>
      <c r="AR19" s="1" t="s">
        <v>564</v>
      </c>
      <c r="AS19" s="1" t="s">
        <v>537</v>
      </c>
      <c r="AT19" s="1" t="s">
        <v>659</v>
      </c>
      <c r="AU19" s="1" t="s">
        <v>535</v>
      </c>
      <c r="AV19" s="1" t="s">
        <v>537</v>
      </c>
      <c r="AW19" s="1" t="s">
        <v>537</v>
      </c>
      <c r="AX19" s="1" t="s">
        <v>537</v>
      </c>
      <c r="AY19" s="1" t="s">
        <v>537</v>
      </c>
      <c r="AZ19" s="1" t="s">
        <v>537</v>
      </c>
      <c r="BA19" s="1" t="s">
        <v>538</v>
      </c>
      <c r="BB19" s="1" t="s">
        <v>538</v>
      </c>
      <c r="BC19" s="1" t="s">
        <v>538</v>
      </c>
    </row>
    <row r="20" spans="1:55" x14ac:dyDescent="0.2">
      <c r="A20"/>
      <c r="B20" t="s">
        <v>640</v>
      </c>
      <c r="C20"/>
      <c r="S20" s="1" t="s">
        <v>625</v>
      </c>
      <c r="T20" s="1" t="s">
        <v>548</v>
      </c>
      <c r="U20" s="1" t="s">
        <v>652</v>
      </c>
      <c r="V20" s="1" t="s">
        <v>549</v>
      </c>
      <c r="W20" s="1" t="s">
        <v>534</v>
      </c>
      <c r="X20" s="1" t="s">
        <v>535</v>
      </c>
      <c r="Y20" s="1" t="s">
        <v>536</v>
      </c>
      <c r="Z20" s="1" t="s">
        <v>537</v>
      </c>
      <c r="AA20" s="1" t="s">
        <v>615</v>
      </c>
      <c r="AB20" s="1" t="s">
        <v>535</v>
      </c>
      <c r="AC20" s="1" t="s">
        <v>537</v>
      </c>
      <c r="AD20" s="1" t="s">
        <v>537</v>
      </c>
      <c r="AE20" s="1" t="s">
        <v>537</v>
      </c>
      <c r="AF20" s="1" t="s">
        <v>537</v>
      </c>
      <c r="AG20" s="1" t="s">
        <v>537</v>
      </c>
      <c r="AH20" s="1" t="s">
        <v>538</v>
      </c>
      <c r="AI20" s="1" t="s">
        <v>538</v>
      </c>
      <c r="AJ20" s="1" t="s">
        <v>538</v>
      </c>
      <c r="AL20" s="1" t="s">
        <v>625</v>
      </c>
      <c r="AM20" s="1" t="s">
        <v>682</v>
      </c>
      <c r="AN20" s="1" t="s">
        <v>725</v>
      </c>
      <c r="AO20" s="1" t="s">
        <v>666</v>
      </c>
      <c r="AP20" s="1" t="s">
        <v>534</v>
      </c>
      <c r="AQ20" s="1" t="s">
        <v>535</v>
      </c>
      <c r="AR20" s="1" t="s">
        <v>564</v>
      </c>
      <c r="AS20" s="1" t="s">
        <v>537</v>
      </c>
      <c r="AT20" s="1" t="s">
        <v>660</v>
      </c>
      <c r="AU20" s="1" t="s">
        <v>535</v>
      </c>
      <c r="AV20" s="1" t="s">
        <v>537</v>
      </c>
      <c r="AW20" s="1" t="s">
        <v>537</v>
      </c>
      <c r="AX20" s="1" t="s">
        <v>537</v>
      </c>
      <c r="AY20" s="1" t="s">
        <v>537</v>
      </c>
      <c r="AZ20" s="1" t="s">
        <v>537</v>
      </c>
      <c r="BA20" s="1" t="s">
        <v>538</v>
      </c>
      <c r="BB20" s="1" t="s">
        <v>538</v>
      </c>
      <c r="BC20" s="1" t="s">
        <v>538</v>
      </c>
    </row>
    <row r="21" spans="1:55" x14ac:dyDescent="0.2">
      <c r="A21"/>
      <c r="B21" t="s">
        <v>684</v>
      </c>
      <c r="C21"/>
      <c r="S21" s="1" t="s">
        <v>625</v>
      </c>
      <c r="T21" s="1" t="s">
        <v>542</v>
      </c>
      <c r="U21" s="1" t="s">
        <v>720</v>
      </c>
      <c r="V21" s="1" t="s">
        <v>544</v>
      </c>
      <c r="W21" s="1" t="s">
        <v>534</v>
      </c>
      <c r="X21" s="1" t="s">
        <v>535</v>
      </c>
      <c r="Y21" s="1" t="s">
        <v>536</v>
      </c>
      <c r="Z21" s="1" t="s">
        <v>537</v>
      </c>
      <c r="AA21" s="1" t="s">
        <v>655</v>
      </c>
      <c r="AB21" s="1" t="s">
        <v>535</v>
      </c>
      <c r="AC21" s="1" t="s">
        <v>537</v>
      </c>
      <c r="AD21" s="1" t="s">
        <v>537</v>
      </c>
      <c r="AE21" s="1" t="s">
        <v>537</v>
      </c>
      <c r="AF21" s="1" t="s">
        <v>537</v>
      </c>
      <c r="AG21" s="1" t="s">
        <v>537</v>
      </c>
      <c r="AH21" s="1" t="s">
        <v>538</v>
      </c>
      <c r="AI21" s="1" t="s">
        <v>538</v>
      </c>
      <c r="AJ21" s="1" t="s">
        <v>538</v>
      </c>
      <c r="AL21" s="1" t="s">
        <v>625</v>
      </c>
      <c r="AM21" s="1" t="s">
        <v>767</v>
      </c>
      <c r="AN21" s="1" t="s">
        <v>726</v>
      </c>
      <c r="AO21" s="1" t="s">
        <v>756</v>
      </c>
      <c r="AP21" s="1" t="s">
        <v>534</v>
      </c>
      <c r="AQ21" s="1" t="s">
        <v>535</v>
      </c>
      <c r="AR21" s="1" t="s">
        <v>564</v>
      </c>
      <c r="AS21" s="1" t="s">
        <v>537</v>
      </c>
      <c r="AT21" s="1" t="s">
        <v>743</v>
      </c>
      <c r="AU21" s="1" t="s">
        <v>535</v>
      </c>
      <c r="AV21" s="1" t="s">
        <v>537</v>
      </c>
      <c r="AW21" s="1" t="s">
        <v>537</v>
      </c>
      <c r="AX21" s="1" t="s">
        <v>537</v>
      </c>
      <c r="AY21" s="1" t="s">
        <v>537</v>
      </c>
      <c r="AZ21" s="1" t="s">
        <v>537</v>
      </c>
      <c r="BA21" s="1" t="s">
        <v>538</v>
      </c>
      <c r="BB21" s="1" t="s">
        <v>538</v>
      </c>
      <c r="BC21" s="1" t="s">
        <v>538</v>
      </c>
    </row>
    <row r="22" spans="1:55" x14ac:dyDescent="0.2">
      <c r="A22"/>
      <c r="B22" t="s">
        <v>685</v>
      </c>
      <c r="C22"/>
      <c r="S22" s="1" t="s">
        <v>625</v>
      </c>
      <c r="T22" s="1" t="s">
        <v>721</v>
      </c>
      <c r="U22" s="1" t="s">
        <v>722</v>
      </c>
      <c r="V22" s="1" t="s">
        <v>723</v>
      </c>
      <c r="W22" s="1" t="s">
        <v>534</v>
      </c>
      <c r="X22" s="1" t="s">
        <v>535</v>
      </c>
      <c r="Y22" s="1" t="s">
        <v>536</v>
      </c>
      <c r="Z22" s="1" t="s">
        <v>537</v>
      </c>
      <c r="AA22" s="1" t="s">
        <v>656</v>
      </c>
      <c r="AB22" s="1" t="s">
        <v>535</v>
      </c>
      <c r="AC22" s="1" t="s">
        <v>537</v>
      </c>
      <c r="AD22" s="1" t="s">
        <v>537</v>
      </c>
      <c r="AE22" s="1" t="s">
        <v>537</v>
      </c>
      <c r="AF22" s="1" t="s">
        <v>537</v>
      </c>
      <c r="AG22" s="1" t="s">
        <v>537</v>
      </c>
      <c r="AH22" s="1" t="s">
        <v>538</v>
      </c>
      <c r="AI22" s="1" t="s">
        <v>538</v>
      </c>
      <c r="AJ22" s="1" t="s">
        <v>538</v>
      </c>
      <c r="AL22" s="1" t="s">
        <v>625</v>
      </c>
      <c r="AM22" s="1" t="s">
        <v>768</v>
      </c>
      <c r="AN22" s="1" t="s">
        <v>728</v>
      </c>
      <c r="AO22" s="1" t="s">
        <v>757</v>
      </c>
      <c r="AP22" s="1" t="s">
        <v>534</v>
      </c>
      <c r="AQ22" s="1" t="s">
        <v>535</v>
      </c>
      <c r="AR22" s="1" t="s">
        <v>564</v>
      </c>
      <c r="AS22" s="1" t="s">
        <v>537</v>
      </c>
      <c r="AT22" s="1" t="s">
        <v>744</v>
      </c>
      <c r="AU22" s="1" t="s">
        <v>535</v>
      </c>
      <c r="AV22" s="1" t="s">
        <v>537</v>
      </c>
      <c r="AW22" s="1" t="s">
        <v>537</v>
      </c>
      <c r="AX22" s="1" t="s">
        <v>537</v>
      </c>
      <c r="AY22" s="1" t="s">
        <v>537</v>
      </c>
      <c r="AZ22" s="1" t="s">
        <v>537</v>
      </c>
      <c r="BA22" s="1" t="s">
        <v>538</v>
      </c>
      <c r="BB22" s="1" t="s">
        <v>538</v>
      </c>
      <c r="BC22" s="1" t="s">
        <v>538</v>
      </c>
    </row>
    <row r="23" spans="1:55" x14ac:dyDescent="0.2">
      <c r="A23"/>
      <c r="B23" t="s">
        <v>686</v>
      </c>
      <c r="C23"/>
      <c r="S23" s="1" t="s">
        <v>625</v>
      </c>
      <c r="T23" s="1" t="s">
        <v>551</v>
      </c>
      <c r="U23" s="1" t="s">
        <v>724</v>
      </c>
      <c r="V23" s="1" t="s">
        <v>552</v>
      </c>
      <c r="W23" s="1" t="s">
        <v>534</v>
      </c>
      <c r="X23" s="1" t="s">
        <v>535</v>
      </c>
      <c r="Y23" s="1" t="s">
        <v>536</v>
      </c>
      <c r="Z23" s="1" t="s">
        <v>537</v>
      </c>
      <c r="AA23" s="1" t="s">
        <v>659</v>
      </c>
      <c r="AB23" s="1" t="s">
        <v>535</v>
      </c>
      <c r="AC23" s="1" t="s">
        <v>537</v>
      </c>
      <c r="AD23" s="1" t="s">
        <v>537</v>
      </c>
      <c r="AE23" s="1" t="s">
        <v>537</v>
      </c>
      <c r="AF23" s="1" t="s">
        <v>537</v>
      </c>
      <c r="AG23" s="1" t="s">
        <v>537</v>
      </c>
      <c r="AH23" s="1" t="s">
        <v>538</v>
      </c>
      <c r="AI23" s="1" t="s">
        <v>538</v>
      </c>
      <c r="AJ23" s="1" t="s">
        <v>538</v>
      </c>
      <c r="AL23" s="1" t="s">
        <v>625</v>
      </c>
      <c r="AM23" s="1" t="s">
        <v>769</v>
      </c>
      <c r="AN23" s="1" t="s">
        <v>745</v>
      </c>
      <c r="AO23" s="1" t="s">
        <v>758</v>
      </c>
      <c r="AP23" s="1" t="s">
        <v>534</v>
      </c>
      <c r="AQ23" s="1" t="s">
        <v>535</v>
      </c>
      <c r="AR23" s="1" t="s">
        <v>564</v>
      </c>
      <c r="AS23" s="1" t="s">
        <v>537</v>
      </c>
      <c r="AT23" s="1" t="s">
        <v>746</v>
      </c>
      <c r="AU23" s="1" t="s">
        <v>535</v>
      </c>
      <c r="AV23" s="1" t="s">
        <v>537</v>
      </c>
      <c r="AW23" s="1" t="s">
        <v>537</v>
      </c>
      <c r="AX23" s="1" t="s">
        <v>537</v>
      </c>
      <c r="AY23" s="1" t="s">
        <v>537</v>
      </c>
      <c r="AZ23" s="1" t="s">
        <v>537</v>
      </c>
      <c r="BA23" s="1" t="s">
        <v>538</v>
      </c>
      <c r="BB23" s="1" t="s">
        <v>538</v>
      </c>
      <c r="BC23" s="1" t="s">
        <v>538</v>
      </c>
    </row>
    <row r="24" spans="1:55" x14ac:dyDescent="0.2">
      <c r="A24"/>
      <c r="B24" t="s">
        <v>687</v>
      </c>
      <c r="C24"/>
      <c r="S24" s="1" t="s">
        <v>625</v>
      </c>
      <c r="T24" s="1" t="s">
        <v>555</v>
      </c>
      <c r="U24" s="1" t="s">
        <v>725</v>
      </c>
      <c r="V24" s="1" t="s">
        <v>556</v>
      </c>
      <c r="W24" s="1" t="s">
        <v>534</v>
      </c>
      <c r="X24" s="1" t="s">
        <v>535</v>
      </c>
      <c r="Y24" s="1" t="s">
        <v>536</v>
      </c>
      <c r="Z24" s="1" t="s">
        <v>537</v>
      </c>
      <c r="AA24" s="1" t="s">
        <v>660</v>
      </c>
      <c r="AB24" s="1" t="s">
        <v>535</v>
      </c>
      <c r="AC24" s="1" t="s">
        <v>537</v>
      </c>
      <c r="AD24" s="1" t="s">
        <v>537</v>
      </c>
      <c r="AE24" s="1" t="s">
        <v>537</v>
      </c>
      <c r="AF24" s="1" t="s">
        <v>537</v>
      </c>
      <c r="AG24" s="1" t="s">
        <v>537</v>
      </c>
      <c r="AH24" s="1" t="s">
        <v>538</v>
      </c>
      <c r="AI24" s="1" t="s">
        <v>538</v>
      </c>
      <c r="AJ24" s="1" t="s">
        <v>538</v>
      </c>
      <c r="AL24" s="1" t="s">
        <v>625</v>
      </c>
      <c r="AM24" s="1" t="s">
        <v>770</v>
      </c>
      <c r="AN24" s="1" t="s">
        <v>730</v>
      </c>
      <c r="AO24" s="1" t="s">
        <v>763</v>
      </c>
      <c r="AP24" s="1" t="s">
        <v>534</v>
      </c>
      <c r="AQ24" s="1" t="s">
        <v>731</v>
      </c>
      <c r="AR24" s="1" t="s">
        <v>564</v>
      </c>
      <c r="AS24" s="1" t="s">
        <v>537</v>
      </c>
      <c r="AT24" s="1" t="s">
        <v>747</v>
      </c>
      <c r="AU24" s="1" t="s">
        <v>535</v>
      </c>
      <c r="AV24" s="1" t="s">
        <v>537</v>
      </c>
      <c r="AW24" s="1" t="s">
        <v>537</v>
      </c>
      <c r="AX24" s="1" t="s">
        <v>537</v>
      </c>
      <c r="AY24" s="1" t="s">
        <v>537</v>
      </c>
      <c r="AZ24" s="1" t="s">
        <v>537</v>
      </c>
      <c r="BA24" s="1" t="s">
        <v>538</v>
      </c>
      <c r="BB24" s="1" t="s">
        <v>538</v>
      </c>
      <c r="BC24" s="1" t="s">
        <v>538</v>
      </c>
    </row>
    <row r="25" spans="1:55" x14ac:dyDescent="0.2">
      <c r="A25"/>
      <c r="B25" t="s">
        <v>688</v>
      </c>
      <c r="C25"/>
      <c r="S25" s="1" t="s">
        <v>625</v>
      </c>
      <c r="T25" s="1" t="s">
        <v>553</v>
      </c>
      <c r="U25" s="1" t="s">
        <v>726</v>
      </c>
      <c r="V25" s="1" t="s">
        <v>554</v>
      </c>
      <c r="W25" s="1" t="s">
        <v>534</v>
      </c>
      <c r="X25" s="1" t="s">
        <v>535</v>
      </c>
      <c r="Y25" s="1" t="s">
        <v>536</v>
      </c>
      <c r="Z25" s="1" t="s">
        <v>537</v>
      </c>
      <c r="AA25" s="1" t="s">
        <v>743</v>
      </c>
      <c r="AB25" s="1" t="s">
        <v>535</v>
      </c>
      <c r="AC25" s="1" t="s">
        <v>537</v>
      </c>
      <c r="AD25" s="1" t="s">
        <v>537</v>
      </c>
      <c r="AE25" s="1" t="s">
        <v>537</v>
      </c>
      <c r="AF25" s="1" t="s">
        <v>537</v>
      </c>
      <c r="AG25" s="1" t="s">
        <v>537</v>
      </c>
      <c r="AH25" s="1" t="s">
        <v>538</v>
      </c>
      <c r="AI25" s="1" t="s">
        <v>538</v>
      </c>
      <c r="AJ25" s="1" t="s">
        <v>538</v>
      </c>
      <c r="AL25" s="1" t="s">
        <v>625</v>
      </c>
      <c r="AM25" s="1" t="s">
        <v>771</v>
      </c>
      <c r="AN25" s="1" t="s">
        <v>748</v>
      </c>
      <c r="AO25" s="1" t="s">
        <v>759</v>
      </c>
      <c r="AP25" s="1" t="s">
        <v>534</v>
      </c>
      <c r="AQ25" s="1" t="s">
        <v>535</v>
      </c>
      <c r="AR25" s="1" t="s">
        <v>564</v>
      </c>
      <c r="AS25" s="1" t="s">
        <v>537</v>
      </c>
      <c r="AT25" s="1" t="s">
        <v>749</v>
      </c>
      <c r="AU25" s="1" t="s">
        <v>535</v>
      </c>
      <c r="AV25" s="1" t="s">
        <v>537</v>
      </c>
      <c r="AW25" s="1" t="s">
        <v>537</v>
      </c>
      <c r="AX25" s="1" t="s">
        <v>537</v>
      </c>
      <c r="AY25" s="1" t="s">
        <v>537</v>
      </c>
      <c r="AZ25" s="1" t="s">
        <v>537</v>
      </c>
      <c r="BA25" s="1" t="s">
        <v>538</v>
      </c>
      <c r="BB25" s="1" t="s">
        <v>538</v>
      </c>
      <c r="BC25" s="1" t="s">
        <v>538</v>
      </c>
    </row>
    <row r="26" spans="1:55" x14ac:dyDescent="0.2">
      <c r="A26"/>
      <c r="B26" t="s">
        <v>689</v>
      </c>
      <c r="C26"/>
      <c r="S26" s="1" t="s">
        <v>625</v>
      </c>
      <c r="T26" s="1" t="s">
        <v>727</v>
      </c>
      <c r="U26" s="1" t="s">
        <v>728</v>
      </c>
      <c r="V26" s="1" t="s">
        <v>729</v>
      </c>
      <c r="W26" s="1" t="s">
        <v>534</v>
      </c>
      <c r="X26" s="1" t="s">
        <v>535</v>
      </c>
      <c r="Y26" s="1" t="s">
        <v>536</v>
      </c>
      <c r="Z26" s="1" t="s">
        <v>537</v>
      </c>
      <c r="AA26" s="1" t="s">
        <v>744</v>
      </c>
      <c r="AB26" s="1" t="s">
        <v>535</v>
      </c>
      <c r="AC26" s="1" t="s">
        <v>537</v>
      </c>
      <c r="AD26" s="1" t="s">
        <v>537</v>
      </c>
      <c r="AE26" s="1" t="s">
        <v>537</v>
      </c>
      <c r="AF26" s="1" t="s">
        <v>537</v>
      </c>
      <c r="AG26" s="1" t="s">
        <v>537</v>
      </c>
      <c r="AH26" s="1" t="s">
        <v>538</v>
      </c>
      <c r="AI26" s="1" t="s">
        <v>538</v>
      </c>
      <c r="AJ26" s="1" t="s">
        <v>538</v>
      </c>
      <c r="AL26" s="1" t="s">
        <v>625</v>
      </c>
      <c r="AM26" s="1" t="s">
        <v>772</v>
      </c>
      <c r="AN26" s="1" t="s">
        <v>732</v>
      </c>
      <c r="AO26" s="1" t="s">
        <v>760</v>
      </c>
      <c r="AP26" s="1" t="s">
        <v>534</v>
      </c>
      <c r="AQ26" s="1" t="s">
        <v>733</v>
      </c>
      <c r="AR26" s="1" t="s">
        <v>564</v>
      </c>
      <c r="AS26" s="1" t="s">
        <v>537</v>
      </c>
      <c r="AT26" s="1" t="s">
        <v>750</v>
      </c>
      <c r="AU26" s="1" t="s">
        <v>535</v>
      </c>
      <c r="AV26" s="1" t="s">
        <v>537</v>
      </c>
      <c r="AW26" s="1" t="s">
        <v>537</v>
      </c>
      <c r="AX26" s="1" t="s">
        <v>537</v>
      </c>
      <c r="AY26" s="1" t="s">
        <v>537</v>
      </c>
      <c r="AZ26" s="1" t="s">
        <v>537</v>
      </c>
      <c r="BA26" s="1" t="s">
        <v>538</v>
      </c>
      <c r="BB26" s="1" t="s">
        <v>538</v>
      </c>
      <c r="BC26" s="1" t="s">
        <v>538</v>
      </c>
    </row>
    <row r="27" spans="1:55" x14ac:dyDescent="0.2">
      <c r="A27"/>
      <c r="B27" t="s">
        <v>738</v>
      </c>
      <c r="C27"/>
      <c r="S27" s="1" t="s">
        <v>625</v>
      </c>
      <c r="T27" s="1" t="s">
        <v>585</v>
      </c>
      <c r="U27" s="1" t="s">
        <v>745</v>
      </c>
      <c r="V27" s="1" t="s">
        <v>586</v>
      </c>
      <c r="W27" s="1" t="s">
        <v>534</v>
      </c>
      <c r="X27" s="1" t="s">
        <v>535</v>
      </c>
      <c r="Y27" s="1" t="s">
        <v>536</v>
      </c>
      <c r="Z27" s="1" t="s">
        <v>537</v>
      </c>
      <c r="AA27" s="1" t="s">
        <v>746</v>
      </c>
      <c r="AB27" s="1" t="s">
        <v>535</v>
      </c>
      <c r="AC27" s="1" t="s">
        <v>537</v>
      </c>
      <c r="AD27" s="1" t="s">
        <v>537</v>
      </c>
      <c r="AE27" s="1" t="s">
        <v>537</v>
      </c>
      <c r="AF27" s="1" t="s">
        <v>537</v>
      </c>
      <c r="AG27" s="1" t="s">
        <v>537</v>
      </c>
      <c r="AH27" s="1" t="s">
        <v>538</v>
      </c>
      <c r="AI27" s="1" t="s">
        <v>538</v>
      </c>
      <c r="AJ27" s="1" t="s">
        <v>538</v>
      </c>
      <c r="AL27" s="1" t="s">
        <v>625</v>
      </c>
      <c r="AM27" s="1" t="s">
        <v>773</v>
      </c>
      <c r="AN27" s="1" t="s">
        <v>734</v>
      </c>
      <c r="AO27" s="1" t="s">
        <v>761</v>
      </c>
      <c r="AP27" s="1" t="s">
        <v>534</v>
      </c>
      <c r="AQ27" s="1" t="s">
        <v>735</v>
      </c>
      <c r="AR27" s="1" t="s">
        <v>564</v>
      </c>
      <c r="AS27" s="1" t="s">
        <v>537</v>
      </c>
      <c r="AT27" s="1" t="s">
        <v>751</v>
      </c>
      <c r="AU27" s="1" t="s">
        <v>535</v>
      </c>
      <c r="AV27" s="1" t="s">
        <v>537</v>
      </c>
      <c r="AW27" s="1" t="s">
        <v>537</v>
      </c>
      <c r="AX27" s="1" t="s">
        <v>537</v>
      </c>
      <c r="AY27" s="1" t="s">
        <v>537</v>
      </c>
      <c r="AZ27" s="1" t="s">
        <v>537</v>
      </c>
      <c r="BA27" s="1" t="s">
        <v>538</v>
      </c>
      <c r="BB27" s="1" t="s">
        <v>538</v>
      </c>
      <c r="BC27" s="1" t="s">
        <v>538</v>
      </c>
    </row>
    <row r="28" spans="1:55" x14ac:dyDescent="0.2">
      <c r="A28"/>
      <c r="B28" t="s">
        <v>693</v>
      </c>
      <c r="C28"/>
      <c r="S28" s="1" t="s">
        <v>625</v>
      </c>
      <c r="T28" s="1" t="s">
        <v>621</v>
      </c>
      <c r="U28" s="1" t="s">
        <v>730</v>
      </c>
      <c r="V28" s="1" t="s">
        <v>622</v>
      </c>
      <c r="W28" s="1" t="s">
        <v>534</v>
      </c>
      <c r="X28" s="1" t="s">
        <v>731</v>
      </c>
      <c r="Y28" s="1" t="s">
        <v>536</v>
      </c>
      <c r="Z28" s="1" t="s">
        <v>537</v>
      </c>
      <c r="AA28" s="1" t="s">
        <v>747</v>
      </c>
      <c r="AB28" s="1" t="s">
        <v>535</v>
      </c>
      <c r="AC28" s="1" t="s">
        <v>537</v>
      </c>
      <c r="AD28" s="1" t="s">
        <v>537</v>
      </c>
      <c r="AE28" s="1" t="s">
        <v>537</v>
      </c>
      <c r="AF28" s="1" t="s">
        <v>537</v>
      </c>
      <c r="AG28" s="1" t="s">
        <v>537</v>
      </c>
      <c r="AH28" s="1" t="s">
        <v>538</v>
      </c>
      <c r="AI28" s="1" t="s">
        <v>538</v>
      </c>
      <c r="AJ28" s="1" t="s">
        <v>538</v>
      </c>
      <c r="AL28" s="1" t="s">
        <v>625</v>
      </c>
      <c r="AM28" s="1" t="s">
        <v>774</v>
      </c>
      <c r="AN28" s="1" t="s">
        <v>736</v>
      </c>
      <c r="AO28" s="1" t="s">
        <v>762</v>
      </c>
      <c r="AP28" s="1" t="s">
        <v>534</v>
      </c>
      <c r="AQ28" s="1" t="s">
        <v>737</v>
      </c>
      <c r="AR28" s="1" t="s">
        <v>564</v>
      </c>
      <c r="AS28" s="1" t="s">
        <v>537</v>
      </c>
      <c r="AT28" s="1" t="s">
        <v>752</v>
      </c>
      <c r="AU28" s="1" t="s">
        <v>535</v>
      </c>
      <c r="AV28" s="1" t="s">
        <v>537</v>
      </c>
      <c r="AW28" s="1" t="s">
        <v>537</v>
      </c>
      <c r="AX28" s="1" t="s">
        <v>537</v>
      </c>
      <c r="AY28" s="1" t="s">
        <v>537</v>
      </c>
      <c r="AZ28" s="1" t="s">
        <v>537</v>
      </c>
      <c r="BA28" s="1" t="s">
        <v>538</v>
      </c>
      <c r="BB28" s="1" t="s">
        <v>538</v>
      </c>
      <c r="BC28" s="1" t="s">
        <v>538</v>
      </c>
    </row>
    <row r="29" spans="1:55" x14ac:dyDescent="0.2">
      <c r="A29"/>
      <c r="B29" t="s">
        <v>739</v>
      </c>
      <c r="C29"/>
      <c r="S29" s="1" t="s">
        <v>625</v>
      </c>
      <c r="T29" s="1" t="s">
        <v>587</v>
      </c>
      <c r="U29" s="1" t="s">
        <v>748</v>
      </c>
      <c r="V29" s="1" t="s">
        <v>588</v>
      </c>
      <c r="W29" s="1" t="s">
        <v>534</v>
      </c>
      <c r="X29" s="1" t="s">
        <v>535</v>
      </c>
      <c r="Y29" s="1" t="s">
        <v>536</v>
      </c>
      <c r="Z29" s="1" t="s">
        <v>537</v>
      </c>
      <c r="AA29" s="1" t="s">
        <v>749</v>
      </c>
      <c r="AB29" s="1" t="s">
        <v>535</v>
      </c>
      <c r="AC29" s="1" t="s">
        <v>537</v>
      </c>
      <c r="AD29" s="1" t="s">
        <v>537</v>
      </c>
      <c r="AE29" s="1" t="s">
        <v>537</v>
      </c>
      <c r="AF29" s="1" t="s">
        <v>537</v>
      </c>
      <c r="AG29" s="1" t="s">
        <v>537</v>
      </c>
      <c r="AH29" s="1" t="s">
        <v>538</v>
      </c>
      <c r="AI29" s="1" t="s">
        <v>538</v>
      </c>
      <c r="AJ29" s="1" t="s">
        <v>538</v>
      </c>
      <c r="AL29" s="1" t="s">
        <v>625</v>
      </c>
      <c r="AM29" s="1" t="s">
        <v>775</v>
      </c>
      <c r="AN29" s="1" t="s">
        <v>626</v>
      </c>
      <c r="AO29" s="1" t="s">
        <v>764</v>
      </c>
      <c r="AP29" s="1" t="s">
        <v>534</v>
      </c>
      <c r="AQ29" s="1" t="s">
        <v>626</v>
      </c>
      <c r="AR29" s="1" t="s">
        <v>564</v>
      </c>
      <c r="AS29" s="1" t="s">
        <v>537</v>
      </c>
      <c r="AT29" s="1" t="s">
        <v>753</v>
      </c>
      <c r="AU29" s="1" t="s">
        <v>535</v>
      </c>
      <c r="AV29" s="1" t="s">
        <v>537</v>
      </c>
      <c r="AW29" s="1" t="s">
        <v>537</v>
      </c>
      <c r="AX29" s="1" t="s">
        <v>537</v>
      </c>
      <c r="AY29" s="1" t="s">
        <v>537</v>
      </c>
      <c r="AZ29" s="1" t="s">
        <v>537</v>
      </c>
      <c r="BA29" s="1" t="s">
        <v>538</v>
      </c>
      <c r="BB29" s="1" t="s">
        <v>538</v>
      </c>
      <c r="BC29" s="1" t="s">
        <v>538</v>
      </c>
    </row>
    <row r="30" spans="1:55" x14ac:dyDescent="0.2">
      <c r="A30"/>
      <c r="B30" t="s">
        <v>690</v>
      </c>
      <c r="C30"/>
      <c r="S30" s="1" t="s">
        <v>625</v>
      </c>
      <c r="T30" s="1" t="s">
        <v>617</v>
      </c>
      <c r="U30" s="1" t="s">
        <v>732</v>
      </c>
      <c r="V30" s="1" t="s">
        <v>618</v>
      </c>
      <c r="W30" s="1" t="s">
        <v>534</v>
      </c>
      <c r="X30" s="1" t="s">
        <v>733</v>
      </c>
      <c r="Y30" s="1" t="s">
        <v>536</v>
      </c>
      <c r="Z30" s="1" t="s">
        <v>537</v>
      </c>
      <c r="AA30" s="1" t="s">
        <v>750</v>
      </c>
      <c r="AB30" s="1" t="s">
        <v>535</v>
      </c>
      <c r="AC30" s="1" t="s">
        <v>537</v>
      </c>
      <c r="AD30" s="1" t="s">
        <v>537</v>
      </c>
      <c r="AE30" s="1" t="s">
        <v>537</v>
      </c>
      <c r="AF30" s="1" t="s">
        <v>537</v>
      </c>
      <c r="AG30" s="1" t="s">
        <v>537</v>
      </c>
      <c r="AH30" s="1" t="s">
        <v>538</v>
      </c>
      <c r="AI30" s="1" t="s">
        <v>538</v>
      </c>
      <c r="AJ30" s="1" t="s">
        <v>538</v>
      </c>
      <c r="AL30" s="1" t="s">
        <v>625</v>
      </c>
      <c r="AM30" s="1" t="s">
        <v>776</v>
      </c>
      <c r="AN30" s="1" t="s">
        <v>627</v>
      </c>
      <c r="AO30" s="1" t="s">
        <v>765</v>
      </c>
      <c r="AP30" s="1" t="s">
        <v>534</v>
      </c>
      <c r="AQ30" s="1" t="s">
        <v>627</v>
      </c>
      <c r="AR30" s="1" t="s">
        <v>564</v>
      </c>
      <c r="AS30" s="1" t="s">
        <v>537</v>
      </c>
      <c r="AT30" s="1" t="s">
        <v>754</v>
      </c>
      <c r="AU30" s="1" t="s">
        <v>535</v>
      </c>
      <c r="AV30" s="1" t="s">
        <v>537</v>
      </c>
      <c r="AW30" s="1" t="s">
        <v>537</v>
      </c>
      <c r="AX30" s="1" t="s">
        <v>537</v>
      </c>
      <c r="AY30" s="1" t="s">
        <v>537</v>
      </c>
      <c r="AZ30" s="1" t="s">
        <v>537</v>
      </c>
      <c r="BA30" s="1" t="s">
        <v>538</v>
      </c>
      <c r="BB30" s="1" t="s">
        <v>538</v>
      </c>
      <c r="BC30" s="1" t="s">
        <v>538</v>
      </c>
    </row>
    <row r="31" spans="1:55" x14ac:dyDescent="0.2">
      <c r="A31"/>
      <c r="B31" t="s">
        <v>691</v>
      </c>
      <c r="C31"/>
      <c r="S31" s="1" t="s">
        <v>625</v>
      </c>
      <c r="T31" s="1" t="s">
        <v>623</v>
      </c>
      <c r="U31" s="1" t="s">
        <v>734</v>
      </c>
      <c r="V31" s="1" t="s">
        <v>624</v>
      </c>
      <c r="W31" s="1" t="s">
        <v>534</v>
      </c>
      <c r="X31" s="1" t="s">
        <v>735</v>
      </c>
      <c r="Y31" s="1" t="s">
        <v>536</v>
      </c>
      <c r="Z31" s="1" t="s">
        <v>537</v>
      </c>
      <c r="AA31" s="1" t="s">
        <v>751</v>
      </c>
      <c r="AB31" s="1" t="s">
        <v>535</v>
      </c>
      <c r="AC31" s="1" t="s">
        <v>537</v>
      </c>
      <c r="AD31" s="1" t="s">
        <v>537</v>
      </c>
      <c r="AE31" s="1" t="s">
        <v>537</v>
      </c>
      <c r="AF31" s="1" t="s">
        <v>537</v>
      </c>
      <c r="AG31" s="1" t="s">
        <v>537</v>
      </c>
      <c r="AH31" s="1" t="s">
        <v>538</v>
      </c>
      <c r="AI31" s="1" t="s">
        <v>538</v>
      </c>
      <c r="AJ31" s="1" t="s">
        <v>538</v>
      </c>
      <c r="AL31" s="1" t="s">
        <v>625</v>
      </c>
      <c r="AM31" s="1" t="s">
        <v>777</v>
      </c>
      <c r="AN31" s="1" t="s">
        <v>628</v>
      </c>
      <c r="AO31" s="1" t="s">
        <v>766</v>
      </c>
      <c r="AP31" s="1" t="s">
        <v>534</v>
      </c>
      <c r="AQ31" s="1" t="s">
        <v>628</v>
      </c>
      <c r="AR31" s="1" t="s">
        <v>564</v>
      </c>
      <c r="AS31" s="1" t="s">
        <v>537</v>
      </c>
      <c r="AT31" s="1" t="s">
        <v>755</v>
      </c>
      <c r="AU31" s="1" t="s">
        <v>535</v>
      </c>
      <c r="AV31" s="1" t="s">
        <v>537</v>
      </c>
      <c r="AW31" s="1" t="s">
        <v>537</v>
      </c>
      <c r="AX31" s="1" t="s">
        <v>537</v>
      </c>
      <c r="AY31" s="1" t="s">
        <v>537</v>
      </c>
      <c r="AZ31" s="1" t="s">
        <v>537</v>
      </c>
      <c r="BA31" s="1" t="s">
        <v>538</v>
      </c>
      <c r="BB31" s="1" t="s">
        <v>538</v>
      </c>
      <c r="BC31" s="1" t="s">
        <v>538</v>
      </c>
    </row>
    <row r="32" spans="1:55" x14ac:dyDescent="0.2">
      <c r="A32"/>
      <c r="B32" t="s">
        <v>692</v>
      </c>
      <c r="C32"/>
      <c r="S32" s="1" t="s">
        <v>625</v>
      </c>
      <c r="T32" s="1" t="s">
        <v>619</v>
      </c>
      <c r="U32" s="1" t="s">
        <v>736</v>
      </c>
      <c r="V32" s="1" t="s">
        <v>620</v>
      </c>
      <c r="W32" s="1" t="s">
        <v>534</v>
      </c>
      <c r="X32" s="1" t="s">
        <v>737</v>
      </c>
      <c r="Y32" s="1" t="s">
        <v>536</v>
      </c>
      <c r="Z32" s="1" t="s">
        <v>537</v>
      </c>
      <c r="AA32" s="1" t="s">
        <v>752</v>
      </c>
      <c r="AB32" s="1" t="s">
        <v>535</v>
      </c>
      <c r="AC32" s="1" t="s">
        <v>537</v>
      </c>
      <c r="AD32" s="1" t="s">
        <v>537</v>
      </c>
      <c r="AE32" s="1" t="s">
        <v>537</v>
      </c>
      <c r="AF32" s="1" t="s">
        <v>537</v>
      </c>
      <c r="AG32" s="1" t="s">
        <v>537</v>
      </c>
      <c r="AH32" s="1" t="s">
        <v>538</v>
      </c>
      <c r="AI32" s="1" t="s">
        <v>538</v>
      </c>
      <c r="AJ32" s="1" t="s">
        <v>538</v>
      </c>
    </row>
    <row r="33" spans="1:36" x14ac:dyDescent="0.2">
      <c r="A33"/>
      <c r="B33" t="s">
        <v>605</v>
      </c>
      <c r="C33"/>
      <c r="S33" s="1" t="s">
        <v>625</v>
      </c>
      <c r="T33" s="1" t="s">
        <v>641</v>
      </c>
      <c r="U33" s="1" t="s">
        <v>626</v>
      </c>
      <c r="V33" s="1" t="s">
        <v>642</v>
      </c>
      <c r="W33" s="1" t="s">
        <v>534</v>
      </c>
      <c r="X33" s="1" t="s">
        <v>626</v>
      </c>
      <c r="Y33" s="1" t="s">
        <v>536</v>
      </c>
      <c r="Z33" s="1" t="s">
        <v>537</v>
      </c>
      <c r="AA33" s="1" t="s">
        <v>753</v>
      </c>
      <c r="AB33" s="1" t="s">
        <v>535</v>
      </c>
      <c r="AC33" s="1" t="s">
        <v>537</v>
      </c>
      <c r="AD33" s="1" t="s">
        <v>537</v>
      </c>
      <c r="AE33" s="1" t="s">
        <v>537</v>
      </c>
      <c r="AF33" s="1" t="s">
        <v>537</v>
      </c>
      <c r="AG33" s="1" t="s">
        <v>537</v>
      </c>
      <c r="AH33" s="1" t="s">
        <v>538</v>
      </c>
      <c r="AI33" s="1" t="s">
        <v>538</v>
      </c>
      <c r="AJ33" s="1" t="s">
        <v>538</v>
      </c>
    </row>
    <row r="34" spans="1:36" x14ac:dyDescent="0.2">
      <c r="A34"/>
      <c r="B34" t="s">
        <v>606</v>
      </c>
      <c r="C34"/>
      <c r="S34" s="1" t="s">
        <v>625</v>
      </c>
      <c r="T34" s="1" t="s">
        <v>643</v>
      </c>
      <c r="U34" s="1" t="s">
        <v>627</v>
      </c>
      <c r="V34" s="1" t="s">
        <v>644</v>
      </c>
      <c r="W34" s="1" t="s">
        <v>534</v>
      </c>
      <c r="X34" s="1" t="s">
        <v>627</v>
      </c>
      <c r="Y34" s="1" t="s">
        <v>536</v>
      </c>
      <c r="Z34" s="1" t="s">
        <v>537</v>
      </c>
      <c r="AA34" s="1" t="s">
        <v>754</v>
      </c>
      <c r="AB34" s="1" t="s">
        <v>535</v>
      </c>
      <c r="AC34" s="1" t="s">
        <v>537</v>
      </c>
      <c r="AD34" s="1" t="s">
        <v>537</v>
      </c>
      <c r="AE34" s="1" t="s">
        <v>537</v>
      </c>
      <c r="AF34" s="1" t="s">
        <v>537</v>
      </c>
      <c r="AG34" s="1" t="s">
        <v>537</v>
      </c>
      <c r="AH34" s="1" t="s">
        <v>538</v>
      </c>
      <c r="AI34" s="1" t="s">
        <v>538</v>
      </c>
      <c r="AJ34" s="1" t="s">
        <v>538</v>
      </c>
    </row>
    <row r="35" spans="1:36" x14ac:dyDescent="0.2">
      <c r="A35"/>
      <c r="B35" t="s">
        <v>607</v>
      </c>
      <c r="C35"/>
      <c r="S35" s="1" t="s">
        <v>625</v>
      </c>
      <c r="T35" s="1" t="s">
        <v>647</v>
      </c>
      <c r="U35" s="1" t="s">
        <v>628</v>
      </c>
      <c r="V35" s="1" t="s">
        <v>648</v>
      </c>
      <c r="W35" s="1" t="s">
        <v>534</v>
      </c>
      <c r="X35" s="1" t="s">
        <v>628</v>
      </c>
      <c r="Y35" s="1" t="s">
        <v>536</v>
      </c>
      <c r="Z35" s="1" t="s">
        <v>537</v>
      </c>
      <c r="AA35" s="1" t="s">
        <v>755</v>
      </c>
      <c r="AB35" s="1" t="s">
        <v>535</v>
      </c>
      <c r="AC35" s="1" t="s">
        <v>537</v>
      </c>
      <c r="AD35" s="1" t="s">
        <v>537</v>
      </c>
      <c r="AE35" s="1" t="s">
        <v>537</v>
      </c>
      <c r="AF35" s="1" t="s">
        <v>537</v>
      </c>
      <c r="AG35" s="1" t="s">
        <v>537</v>
      </c>
      <c r="AH35" s="1" t="s">
        <v>538</v>
      </c>
      <c r="AI35" s="1" t="s">
        <v>538</v>
      </c>
      <c r="AJ35" s="1" t="s">
        <v>538</v>
      </c>
    </row>
  </sheetData>
  <dataConsolid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2.75" x14ac:dyDescent="0.2"/>
  <sheetData/>
  <dataConsolid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Q6"/>
  <sheetViews>
    <sheetView workbookViewId="0">
      <selection activeCell="N5" sqref="N5"/>
    </sheetView>
  </sheetViews>
  <sheetFormatPr defaultRowHeight="12.75" x14ac:dyDescent="0.2"/>
  <cols>
    <col min="1" max="1" width="9.140625" style="66"/>
    <col min="2" max="2" width="20" bestFit="1" customWidth="1"/>
    <col min="3" max="3" width="12.42578125" bestFit="1" customWidth="1"/>
    <col min="8" max="8" width="9.140625" style="66"/>
    <col min="12" max="12" width="9.140625" style="66"/>
    <col min="16" max="17" width="0" hidden="1" customWidth="1"/>
  </cols>
  <sheetData>
    <row r="1" spans="1:17" ht="25.5" x14ac:dyDescent="0.2">
      <c r="A1" s="91" t="s">
        <v>369</v>
      </c>
      <c r="B1" s="90" t="s">
        <v>351</v>
      </c>
      <c r="C1" s="90" t="s">
        <v>352</v>
      </c>
      <c r="D1" s="90" t="s">
        <v>353</v>
      </c>
      <c r="E1" s="90" t="s">
        <v>354</v>
      </c>
      <c r="F1" s="90" t="s">
        <v>355</v>
      </c>
      <c r="G1" s="90" t="s">
        <v>356</v>
      </c>
      <c r="H1" s="92" t="s">
        <v>407</v>
      </c>
      <c r="I1" s="90" t="s">
        <v>357</v>
      </c>
      <c r="J1" s="90" t="s">
        <v>358</v>
      </c>
      <c r="K1" s="90" t="s">
        <v>359</v>
      </c>
      <c r="L1" s="92" t="s">
        <v>408</v>
      </c>
      <c r="M1" s="90" t="s">
        <v>360</v>
      </c>
      <c r="N1" s="90" t="s">
        <v>361</v>
      </c>
      <c r="P1" s="93" t="s">
        <v>420</v>
      </c>
      <c r="Q1" s="93" t="s">
        <v>421</v>
      </c>
    </row>
    <row r="2" spans="1:17" x14ac:dyDescent="0.2">
      <c r="A2" s="89">
        <v>0</v>
      </c>
      <c r="B2" s="87" t="s">
        <v>362</v>
      </c>
      <c r="C2" s="88" t="s">
        <v>427</v>
      </c>
      <c r="D2" s="88" t="s">
        <v>422</v>
      </c>
      <c r="E2" s="87">
        <v>0</v>
      </c>
      <c r="F2" s="87">
        <v>0</v>
      </c>
      <c r="G2" s="87">
        <v>1</v>
      </c>
      <c r="H2" s="88" t="s">
        <v>423</v>
      </c>
      <c r="I2" s="87"/>
      <c r="J2" s="87"/>
      <c r="K2" s="87"/>
      <c r="L2" s="88" t="s">
        <v>423</v>
      </c>
      <c r="M2" s="87" t="s">
        <v>363</v>
      </c>
      <c r="N2" s="88"/>
      <c r="P2" t="s">
        <v>422</v>
      </c>
      <c r="Q2" t="s">
        <v>424</v>
      </c>
    </row>
    <row r="3" spans="1:17" x14ac:dyDescent="0.2">
      <c r="A3" s="89">
        <f>IF(ISBLANK(B3),"",A2+1)</f>
        <v>1</v>
      </c>
      <c r="B3" s="87" t="s">
        <v>364</v>
      </c>
      <c r="C3" s="88" t="s">
        <v>426</v>
      </c>
      <c r="D3" s="88" t="s">
        <v>422</v>
      </c>
      <c r="E3" s="87">
        <v>0</v>
      </c>
      <c r="F3" s="87">
        <v>0</v>
      </c>
      <c r="G3" s="87">
        <v>2</v>
      </c>
      <c r="H3" s="88" t="s">
        <v>423</v>
      </c>
      <c r="I3" s="87"/>
      <c r="J3" s="87"/>
      <c r="K3" s="87"/>
      <c r="L3" s="88" t="s">
        <v>423</v>
      </c>
      <c r="M3" s="87" t="s">
        <v>363</v>
      </c>
      <c r="N3" s="88"/>
      <c r="P3" t="s">
        <v>423</v>
      </c>
      <c r="Q3" t="s">
        <v>425</v>
      </c>
    </row>
    <row r="4" spans="1:17" x14ac:dyDescent="0.2">
      <c r="A4" s="89">
        <f t="shared" ref="A4:A6" si="0">IF(ISBLANK(B4),"",A3+1)</f>
        <v>2</v>
      </c>
      <c r="B4" s="87" t="s">
        <v>410</v>
      </c>
      <c r="C4" s="88" t="s">
        <v>424</v>
      </c>
      <c r="D4" s="88" t="s">
        <v>422</v>
      </c>
      <c r="E4" s="87">
        <v>0</v>
      </c>
      <c r="F4" s="87">
        <v>0</v>
      </c>
      <c r="G4" s="87">
        <v>3</v>
      </c>
      <c r="H4" s="88" t="s">
        <v>423</v>
      </c>
      <c r="I4" s="87"/>
      <c r="J4" s="87"/>
      <c r="K4" s="87"/>
      <c r="L4" s="88" t="s">
        <v>423</v>
      </c>
      <c r="M4" s="87" t="s">
        <v>365</v>
      </c>
      <c r="N4" s="88"/>
      <c r="Q4" t="s">
        <v>426</v>
      </c>
    </row>
    <row r="5" spans="1:17" x14ac:dyDescent="0.2">
      <c r="A5" s="89">
        <f t="shared" si="0"/>
        <v>3</v>
      </c>
      <c r="B5" s="87" t="s">
        <v>366</v>
      </c>
      <c r="C5" s="88" t="s">
        <v>425</v>
      </c>
      <c r="D5" s="88" t="s">
        <v>422</v>
      </c>
      <c r="E5" s="87">
        <v>0</v>
      </c>
      <c r="F5" s="87">
        <v>0</v>
      </c>
      <c r="G5" s="87">
        <v>4</v>
      </c>
      <c r="H5" s="88" t="s">
        <v>423</v>
      </c>
      <c r="I5" s="87"/>
      <c r="J5" s="87"/>
      <c r="K5" s="87"/>
      <c r="L5" s="88" t="s">
        <v>423</v>
      </c>
      <c r="M5" s="87" t="s">
        <v>365</v>
      </c>
      <c r="N5" s="88"/>
      <c r="Q5" t="s">
        <v>427</v>
      </c>
    </row>
    <row r="6" spans="1:17" x14ac:dyDescent="0.2">
      <c r="A6" s="89">
        <f t="shared" si="0"/>
        <v>4</v>
      </c>
      <c r="B6" s="87" t="s">
        <v>367</v>
      </c>
      <c r="C6" s="88" t="s">
        <v>428</v>
      </c>
      <c r="D6" s="88" t="s">
        <v>422</v>
      </c>
      <c r="E6" s="87">
        <v>0</v>
      </c>
      <c r="F6" s="87">
        <v>0</v>
      </c>
      <c r="G6" s="87">
        <v>5</v>
      </c>
      <c r="H6" s="88" t="s">
        <v>423</v>
      </c>
      <c r="I6" s="87">
        <v>1</v>
      </c>
      <c r="J6" s="87">
        <v>2</v>
      </c>
      <c r="K6" s="87">
        <v>3</v>
      </c>
      <c r="L6" s="88" t="s">
        <v>423</v>
      </c>
      <c r="M6" s="87" t="s">
        <v>368</v>
      </c>
      <c r="N6" s="88"/>
      <c r="Q6" t="s">
        <v>428</v>
      </c>
    </row>
  </sheetData>
  <dataConsolidate/>
  <dataValidations count="2">
    <dataValidation type="list" allowBlank="1" showInputMessage="1" showErrorMessage="1" sqref="C2:C6">
      <formula1>$Q$2:$Q$6</formula1>
    </dataValidation>
    <dataValidation type="list" allowBlank="1" showInputMessage="1" showErrorMessage="1" sqref="D2:D6 H2:H6 L2:L6">
      <formula1>$P$2:$P$3</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Y6"/>
  <sheetViews>
    <sheetView workbookViewId="0">
      <selection activeCell="W1" sqref="W1:Y1048576"/>
    </sheetView>
  </sheetViews>
  <sheetFormatPr defaultRowHeight="12.75" x14ac:dyDescent="0.2"/>
  <cols>
    <col min="16" max="16" width="14.42578125" customWidth="1"/>
    <col min="18" max="18" width="14.42578125" bestFit="1" customWidth="1"/>
    <col min="20" max="20" width="14.42578125" customWidth="1"/>
    <col min="23" max="25" width="0" hidden="1" customWidth="1"/>
  </cols>
  <sheetData>
    <row r="1" spans="1:25" s="66" customFormat="1" ht="38.25" customHeight="1" x14ac:dyDescent="0.2">
      <c r="A1" s="155" t="s">
        <v>417</v>
      </c>
      <c r="B1" s="156"/>
      <c r="C1" s="156"/>
      <c r="D1" s="156"/>
      <c r="E1" s="156"/>
      <c r="F1" s="156"/>
      <c r="G1" s="156"/>
      <c r="H1" s="156"/>
      <c r="I1" s="156"/>
      <c r="J1" s="156"/>
      <c r="K1" s="156"/>
      <c r="L1" s="157"/>
      <c r="N1" s="155" t="s">
        <v>418</v>
      </c>
      <c r="O1" s="156"/>
      <c r="P1" s="156"/>
      <c r="Q1" s="156"/>
      <c r="R1" s="156"/>
      <c r="S1" s="156"/>
      <c r="T1" s="156"/>
      <c r="U1" s="157"/>
    </row>
    <row r="2" spans="1:25" ht="51" x14ac:dyDescent="0.2">
      <c r="A2" s="90" t="s">
        <v>369</v>
      </c>
      <c r="B2" s="90" t="s">
        <v>11</v>
      </c>
      <c r="C2" s="90" t="s">
        <v>370</v>
      </c>
      <c r="D2" s="90" t="s">
        <v>371</v>
      </c>
      <c r="E2" s="90" t="s">
        <v>372</v>
      </c>
      <c r="F2" s="90" t="s">
        <v>373</v>
      </c>
      <c r="G2" s="90" t="s">
        <v>374</v>
      </c>
      <c r="H2" s="90" t="s">
        <v>375</v>
      </c>
      <c r="I2" s="90" t="s">
        <v>376</v>
      </c>
      <c r="J2" s="90" t="s">
        <v>377</v>
      </c>
      <c r="K2" s="90" t="s">
        <v>378</v>
      </c>
      <c r="L2" s="90" t="s">
        <v>379</v>
      </c>
      <c r="N2" s="93" t="s">
        <v>409</v>
      </c>
      <c r="O2" s="93" t="s">
        <v>401</v>
      </c>
      <c r="P2" s="93" t="s">
        <v>411</v>
      </c>
      <c r="Q2" s="93" t="s">
        <v>412</v>
      </c>
      <c r="R2" s="93" t="s">
        <v>413</v>
      </c>
      <c r="S2" s="93" t="s">
        <v>414</v>
      </c>
      <c r="T2" s="93" t="s">
        <v>415</v>
      </c>
      <c r="U2" s="93" t="s">
        <v>416</v>
      </c>
      <c r="W2" s="94" t="s">
        <v>417</v>
      </c>
      <c r="X2" s="94" t="s">
        <v>433</v>
      </c>
      <c r="Y2" s="94" t="s">
        <v>434</v>
      </c>
    </row>
    <row r="3" spans="1:25" x14ac:dyDescent="0.2">
      <c r="A3" s="89">
        <v>0</v>
      </c>
      <c r="B3" s="88" t="s">
        <v>429</v>
      </c>
      <c r="C3" s="87">
        <v>13</v>
      </c>
      <c r="D3" s="87">
        <v>0.2</v>
      </c>
      <c r="E3" s="88" t="s">
        <v>380</v>
      </c>
      <c r="F3" s="87">
        <v>5</v>
      </c>
      <c r="G3" s="87">
        <v>10</v>
      </c>
      <c r="H3" s="88" t="s">
        <v>381</v>
      </c>
      <c r="I3" s="87">
        <v>500</v>
      </c>
      <c r="J3" s="88" t="s">
        <v>382</v>
      </c>
      <c r="K3" s="87">
        <v>2000</v>
      </c>
      <c r="L3" s="87">
        <v>8</v>
      </c>
      <c r="N3" s="87">
        <v>0</v>
      </c>
      <c r="O3" s="87">
        <v>5</v>
      </c>
      <c r="P3" s="87" t="s">
        <v>410</v>
      </c>
      <c r="Q3" s="87">
        <v>66.58</v>
      </c>
      <c r="R3" s="87"/>
      <c r="S3" s="87"/>
      <c r="T3" s="87"/>
      <c r="U3" s="87"/>
      <c r="W3" t="s">
        <v>429</v>
      </c>
      <c r="X3" t="s">
        <v>380</v>
      </c>
      <c r="Y3" t="s">
        <v>382</v>
      </c>
    </row>
    <row r="4" spans="1:25" x14ac:dyDescent="0.2">
      <c r="A4" s="89">
        <f>IF(ISBLANK(B4),"",A3+1)</f>
        <v>1</v>
      </c>
      <c r="B4" s="88" t="s">
        <v>430</v>
      </c>
      <c r="C4" s="87">
        <v>10</v>
      </c>
      <c r="D4" s="87">
        <v>0.2</v>
      </c>
      <c r="E4" s="88" t="s">
        <v>380</v>
      </c>
      <c r="F4" s="87">
        <v>5</v>
      </c>
      <c r="G4" s="87">
        <v>10</v>
      </c>
      <c r="H4" s="88" t="s">
        <v>381</v>
      </c>
      <c r="I4" s="87">
        <v>350</v>
      </c>
      <c r="J4" s="88" t="s">
        <v>382</v>
      </c>
      <c r="K4" s="87">
        <v>2000</v>
      </c>
      <c r="L4" s="87">
        <v>8</v>
      </c>
      <c r="N4" s="87">
        <v>1</v>
      </c>
      <c r="O4" s="87">
        <v>1</v>
      </c>
      <c r="P4" s="87" t="s">
        <v>362</v>
      </c>
      <c r="Q4" s="87">
        <v>1</v>
      </c>
      <c r="R4" s="87" t="s">
        <v>364</v>
      </c>
      <c r="S4" s="87">
        <v>2</v>
      </c>
      <c r="T4" s="87"/>
      <c r="U4" s="87"/>
      <c r="W4" t="s">
        <v>430</v>
      </c>
      <c r="X4" t="s">
        <v>381</v>
      </c>
      <c r="Y4" t="s">
        <v>437</v>
      </c>
    </row>
    <row r="5" spans="1:25" x14ac:dyDescent="0.2">
      <c r="A5" s="89">
        <f>IF(ISBLANK(B5),"",A4+1)</f>
        <v>2</v>
      </c>
      <c r="B5" s="88" t="s">
        <v>432</v>
      </c>
      <c r="C5" s="87">
        <v>6</v>
      </c>
      <c r="D5" s="87">
        <v>0.2</v>
      </c>
      <c r="E5" s="88" t="s">
        <v>380</v>
      </c>
      <c r="F5" s="87">
        <v>0.2</v>
      </c>
      <c r="G5" s="87">
        <v>0.4</v>
      </c>
      <c r="H5" s="88" t="s">
        <v>380</v>
      </c>
      <c r="I5" s="87">
        <v>1</v>
      </c>
      <c r="J5" s="88" t="s">
        <v>406</v>
      </c>
      <c r="K5" s="87">
        <v>2000</v>
      </c>
      <c r="L5" s="87">
        <v>8</v>
      </c>
      <c r="N5" s="87">
        <v>2</v>
      </c>
      <c r="O5" s="87">
        <v>1</v>
      </c>
      <c r="P5" s="87" t="s">
        <v>362</v>
      </c>
      <c r="Q5" s="87">
        <v>1</v>
      </c>
      <c r="R5" s="87" t="s">
        <v>364</v>
      </c>
      <c r="S5" s="87">
        <v>2</v>
      </c>
      <c r="T5" s="87" t="s">
        <v>419</v>
      </c>
      <c r="U5" s="87">
        <v>3</v>
      </c>
      <c r="W5" t="s">
        <v>432</v>
      </c>
      <c r="X5" t="s">
        <v>435</v>
      </c>
      <c r="Y5" t="s">
        <v>406</v>
      </c>
    </row>
    <row r="6" spans="1:25" x14ac:dyDescent="0.2">
      <c r="A6" s="89">
        <f>IF(ISBLANK(B6),"",A5+1)</f>
        <v>3</v>
      </c>
      <c r="B6" s="88" t="s">
        <v>431</v>
      </c>
      <c r="C6" s="87">
        <v>6</v>
      </c>
      <c r="D6" s="87">
        <v>0.2</v>
      </c>
      <c r="E6" s="88" t="s">
        <v>380</v>
      </c>
      <c r="F6" s="87">
        <v>0.2</v>
      </c>
      <c r="G6" s="87">
        <v>0.4</v>
      </c>
      <c r="H6" s="88" t="s">
        <v>380</v>
      </c>
      <c r="I6" s="87">
        <v>2</v>
      </c>
      <c r="J6" s="88" t="s">
        <v>406</v>
      </c>
      <c r="K6" s="87">
        <v>2000</v>
      </c>
      <c r="L6" s="87">
        <v>8</v>
      </c>
      <c r="W6" t="s">
        <v>431</v>
      </c>
      <c r="X6" t="s">
        <v>436</v>
      </c>
    </row>
  </sheetData>
  <dataConsolidate/>
  <mergeCells count="2">
    <mergeCell ref="A1:L1"/>
    <mergeCell ref="N1:U1"/>
  </mergeCells>
  <dataValidations count="3">
    <dataValidation type="list" allowBlank="1" showInputMessage="1" showErrorMessage="1" sqref="B3:B6">
      <formula1>$W$3:$W$6</formula1>
    </dataValidation>
    <dataValidation type="list" allowBlank="1" showInputMessage="1" showErrorMessage="1" sqref="E3:E6 H3:H6">
      <formula1>$X$3:$X$6</formula1>
    </dataValidation>
    <dataValidation type="list" allowBlank="1" showInputMessage="1" showErrorMessage="1" sqref="J3:J6">
      <formula1>$Y$3:$Y$5</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W17"/>
  <sheetViews>
    <sheetView workbookViewId="0">
      <selection activeCell="B3" sqref="B3"/>
    </sheetView>
  </sheetViews>
  <sheetFormatPr defaultRowHeight="12.75" x14ac:dyDescent="0.2"/>
  <cols>
    <col min="21" max="21" width="10.5703125" bestFit="1" customWidth="1"/>
    <col min="23" max="23" width="0" hidden="1" customWidth="1"/>
  </cols>
  <sheetData>
    <row r="1" spans="1:23" x14ac:dyDescent="0.2">
      <c r="A1" s="158" t="s">
        <v>383</v>
      </c>
      <c r="B1" s="158"/>
      <c r="C1" s="158"/>
      <c r="D1" s="158"/>
      <c r="E1" s="158"/>
      <c r="F1" s="158"/>
      <c r="G1" s="158"/>
      <c r="H1" s="158"/>
      <c r="I1" s="158"/>
      <c r="J1" s="158"/>
      <c r="K1" s="158"/>
      <c r="L1" s="158"/>
      <c r="M1" s="66"/>
      <c r="N1" s="158" t="s">
        <v>384</v>
      </c>
      <c r="O1" s="158"/>
      <c r="P1" s="158"/>
      <c r="Q1" s="158"/>
      <c r="R1" s="158"/>
      <c r="S1" s="158"/>
      <c r="T1" s="158"/>
      <c r="U1" s="158"/>
    </row>
    <row r="2" spans="1:23" ht="51" x14ac:dyDescent="0.2">
      <c r="A2" s="90" t="s">
        <v>369</v>
      </c>
      <c r="B2" s="90" t="s">
        <v>11</v>
      </c>
      <c r="C2" s="90" t="s">
        <v>385</v>
      </c>
      <c r="D2" s="90" t="s">
        <v>386</v>
      </c>
      <c r="E2" s="90" t="s">
        <v>387</v>
      </c>
      <c r="F2" s="90" t="s">
        <v>388</v>
      </c>
      <c r="G2" s="90" t="s">
        <v>389</v>
      </c>
      <c r="H2" s="90" t="s">
        <v>390</v>
      </c>
      <c r="I2" s="90" t="s">
        <v>391</v>
      </c>
      <c r="J2" s="90" t="s">
        <v>392</v>
      </c>
      <c r="K2" s="90" t="s">
        <v>393</v>
      </c>
      <c r="L2" s="90" t="s">
        <v>394</v>
      </c>
      <c r="M2" s="66"/>
      <c r="N2" s="90" t="s">
        <v>395</v>
      </c>
      <c r="O2" s="90" t="s">
        <v>396</v>
      </c>
      <c r="P2" s="90" t="s">
        <v>397</v>
      </c>
      <c r="Q2" s="90" t="s">
        <v>398</v>
      </c>
      <c r="R2" s="90" t="s">
        <v>399</v>
      </c>
      <c r="S2" s="90" t="s">
        <v>400</v>
      </c>
      <c r="T2" s="90" t="s">
        <v>401</v>
      </c>
      <c r="U2" s="90" t="s">
        <v>402</v>
      </c>
      <c r="W2" s="93" t="s">
        <v>438</v>
      </c>
    </row>
    <row r="3" spans="1:23" x14ac:dyDescent="0.2">
      <c r="A3" s="89">
        <v>0</v>
      </c>
      <c r="B3" s="88" t="s">
        <v>439</v>
      </c>
      <c r="C3" s="87">
        <v>-3.6164000000000001</v>
      </c>
      <c r="D3" s="87">
        <v>6.7220000000000004</v>
      </c>
      <c r="E3" s="87">
        <v>0</v>
      </c>
      <c r="F3" s="87">
        <v>2.9293</v>
      </c>
      <c r="G3" s="87">
        <v>2.0369999999999999</v>
      </c>
      <c r="H3" s="87">
        <v>50</v>
      </c>
      <c r="I3" s="87">
        <v>0</v>
      </c>
      <c r="J3" s="87">
        <v>0</v>
      </c>
      <c r="K3" s="87">
        <v>5</v>
      </c>
      <c r="L3" s="87">
        <v>18</v>
      </c>
      <c r="M3" s="66"/>
      <c r="N3" s="87">
        <v>0</v>
      </c>
      <c r="O3" s="87">
        <v>-2.7014999999999998</v>
      </c>
      <c r="P3" s="87">
        <v>1.5630999999999999</v>
      </c>
      <c r="Q3" s="87">
        <v>0.2</v>
      </c>
      <c r="R3" s="87">
        <v>1</v>
      </c>
      <c r="S3" s="88">
        <v>0</v>
      </c>
      <c r="T3" s="87">
        <v>3</v>
      </c>
      <c r="U3" s="87">
        <v>1</v>
      </c>
      <c r="W3" t="s">
        <v>439</v>
      </c>
    </row>
    <row r="4" spans="1:23" x14ac:dyDescent="0.2">
      <c r="A4" s="89">
        <f>IF(ISBLANK(B4),"",A3+1)</f>
        <v>1</v>
      </c>
      <c r="B4" s="88" t="s">
        <v>440</v>
      </c>
      <c r="C4" s="87">
        <v>1.4723999999999999</v>
      </c>
      <c r="D4" s="87">
        <v>6.7355</v>
      </c>
      <c r="E4" s="87">
        <v>0</v>
      </c>
      <c r="F4" s="87">
        <v>2.7397</v>
      </c>
      <c r="G4" s="87">
        <v>1.9326000000000001</v>
      </c>
      <c r="H4" s="87">
        <v>50</v>
      </c>
      <c r="I4" s="87">
        <v>0</v>
      </c>
      <c r="J4" s="87">
        <v>0</v>
      </c>
      <c r="K4" s="87">
        <v>3</v>
      </c>
      <c r="L4" s="87">
        <v>8</v>
      </c>
      <c r="M4" s="66"/>
      <c r="N4" s="87">
        <v>0</v>
      </c>
      <c r="O4" s="87">
        <v>-2.0804999999999998</v>
      </c>
      <c r="P4" s="87">
        <v>1.5630999999999999</v>
      </c>
      <c r="Q4" s="87">
        <v>0.2</v>
      </c>
      <c r="R4" s="87">
        <v>18</v>
      </c>
      <c r="S4" s="88">
        <v>0</v>
      </c>
      <c r="T4" s="87">
        <v>3</v>
      </c>
      <c r="U4" s="87" t="s">
        <v>403</v>
      </c>
      <c r="W4" t="s">
        <v>440</v>
      </c>
    </row>
    <row r="5" spans="1:23" x14ac:dyDescent="0.2">
      <c r="A5" s="66"/>
      <c r="B5" s="66"/>
      <c r="C5" s="66"/>
      <c r="D5" s="66"/>
      <c r="E5" s="66"/>
      <c r="F5" s="66"/>
      <c r="G5" s="66"/>
      <c r="H5" s="66"/>
      <c r="I5" s="66"/>
      <c r="J5" s="66"/>
      <c r="K5" s="66"/>
      <c r="L5" s="66"/>
      <c r="M5" s="66"/>
      <c r="N5" s="87">
        <v>0</v>
      </c>
      <c r="O5" s="87">
        <v>-1.77</v>
      </c>
      <c r="P5" s="87">
        <v>1.5630999999999999</v>
      </c>
      <c r="Q5" s="87">
        <v>0.2</v>
      </c>
      <c r="R5" s="87">
        <v>18</v>
      </c>
      <c r="S5" s="88">
        <v>0</v>
      </c>
      <c r="T5" s="87">
        <v>3</v>
      </c>
      <c r="U5" s="87" t="s">
        <v>403</v>
      </c>
    </row>
    <row r="6" spans="1:23" x14ac:dyDescent="0.2">
      <c r="A6" s="66"/>
      <c r="B6" s="66"/>
      <c r="C6" s="66"/>
      <c r="D6" s="66"/>
      <c r="E6" s="66"/>
      <c r="F6" s="66"/>
      <c r="G6" s="66"/>
      <c r="H6" s="66"/>
      <c r="I6" s="66"/>
      <c r="J6" s="66"/>
      <c r="K6" s="66"/>
      <c r="L6" s="66"/>
      <c r="M6" s="66"/>
      <c r="N6" s="87">
        <v>0</v>
      </c>
      <c r="O6" s="87">
        <v>-1.4595</v>
      </c>
      <c r="P6" s="87">
        <v>1.5630999999999999</v>
      </c>
      <c r="Q6" s="87">
        <v>0.2</v>
      </c>
      <c r="R6" s="87">
        <v>18</v>
      </c>
      <c r="S6" s="88">
        <v>0</v>
      </c>
      <c r="T6" s="87">
        <v>3</v>
      </c>
      <c r="U6" s="87" t="s">
        <v>403</v>
      </c>
    </row>
    <row r="7" spans="1:23" x14ac:dyDescent="0.2">
      <c r="A7" s="66"/>
      <c r="B7" s="66"/>
      <c r="C7" s="66"/>
      <c r="D7" s="66"/>
      <c r="E7" s="66"/>
      <c r="F7" s="66"/>
      <c r="G7" s="66"/>
      <c r="H7" s="66"/>
      <c r="I7" s="66"/>
      <c r="J7" s="66"/>
      <c r="K7" s="66"/>
      <c r="L7" s="66"/>
      <c r="M7" s="66"/>
      <c r="N7" s="87">
        <v>0</v>
      </c>
      <c r="O7" s="87">
        <v>-1.149</v>
      </c>
      <c r="P7" s="87">
        <v>1.5630999999999999</v>
      </c>
      <c r="Q7" s="87">
        <v>0.2</v>
      </c>
      <c r="R7" s="87">
        <v>18</v>
      </c>
      <c r="S7" s="88">
        <v>0</v>
      </c>
      <c r="T7" s="87">
        <v>3</v>
      </c>
      <c r="U7" s="87" t="s">
        <v>403</v>
      </c>
    </row>
    <row r="8" spans="1:23" x14ac:dyDescent="0.2">
      <c r="A8" s="66"/>
      <c r="B8" s="66"/>
      <c r="C8" s="66"/>
      <c r="D8" s="66"/>
      <c r="E8" s="66"/>
      <c r="F8" s="66"/>
      <c r="G8" s="66"/>
      <c r="H8" s="66"/>
      <c r="I8" s="66"/>
      <c r="J8" s="66"/>
      <c r="K8" s="66"/>
      <c r="L8" s="66"/>
      <c r="M8" s="66"/>
      <c r="N8" s="87">
        <v>1</v>
      </c>
      <c r="O8" s="87">
        <v>-2.0293999999999999</v>
      </c>
      <c r="P8" s="87">
        <v>-0.1229</v>
      </c>
      <c r="Q8" s="87">
        <v>0.31979999999999997</v>
      </c>
      <c r="R8" s="87">
        <v>6</v>
      </c>
      <c r="S8" s="88">
        <v>0</v>
      </c>
      <c r="T8" s="87">
        <v>3</v>
      </c>
      <c r="U8" s="87">
        <v>1</v>
      </c>
    </row>
    <row r="9" spans="1:23" x14ac:dyDescent="0.2">
      <c r="A9" s="66"/>
      <c r="B9" s="66"/>
      <c r="C9" s="66"/>
      <c r="D9" s="66"/>
      <c r="E9" s="66"/>
      <c r="F9" s="66"/>
      <c r="G9" s="66"/>
      <c r="H9" s="66"/>
      <c r="I9" s="66"/>
      <c r="J9" s="66"/>
      <c r="K9" s="66"/>
      <c r="L9" s="66"/>
      <c r="M9" s="66"/>
      <c r="N9" s="87">
        <v>1</v>
      </c>
      <c r="O9" s="87">
        <v>-1.5593999999999999</v>
      </c>
      <c r="P9" s="87">
        <v>1.296</v>
      </c>
      <c r="Q9" s="87">
        <v>0.42280000000000001</v>
      </c>
      <c r="R9" s="87">
        <v>1</v>
      </c>
      <c r="S9" s="88">
        <v>0</v>
      </c>
      <c r="T9" s="87">
        <v>3</v>
      </c>
      <c r="U9" s="87">
        <v>1</v>
      </c>
    </row>
    <row r="10" spans="1:23" x14ac:dyDescent="0.2">
      <c r="M10" s="66"/>
      <c r="N10" s="87">
        <v>1</v>
      </c>
      <c r="O10" s="87">
        <v>0.1197</v>
      </c>
      <c r="P10" s="87">
        <v>1.296</v>
      </c>
      <c r="Q10" s="87">
        <v>0.42280000000000001</v>
      </c>
      <c r="R10" s="87">
        <v>8</v>
      </c>
      <c r="S10" s="88">
        <v>0</v>
      </c>
      <c r="T10" s="87">
        <v>3</v>
      </c>
      <c r="U10" s="87" t="s">
        <v>404</v>
      </c>
    </row>
    <row r="11" spans="1:23" x14ac:dyDescent="0.2">
      <c r="M11" s="66"/>
    </row>
    <row r="12" spans="1:23" x14ac:dyDescent="0.2">
      <c r="M12" s="66"/>
    </row>
    <row r="13" spans="1:23" x14ac:dyDescent="0.2">
      <c r="M13" s="66"/>
    </row>
    <row r="14" spans="1:23" x14ac:dyDescent="0.2">
      <c r="M14" s="66"/>
    </row>
    <row r="15" spans="1:23" x14ac:dyDescent="0.2">
      <c r="M15" s="66"/>
    </row>
    <row r="16" spans="1:23" x14ac:dyDescent="0.2">
      <c r="M16" s="66"/>
    </row>
    <row r="17" spans="13:13" x14ac:dyDescent="0.2">
      <c r="M17" s="66"/>
    </row>
  </sheetData>
  <sortState ref="N3:U10">
    <sortCondition ref="N3:N10"/>
    <sortCondition ref="O3:O10"/>
  </sortState>
  <dataConsolidate/>
  <mergeCells count="2">
    <mergeCell ref="A1:L1"/>
    <mergeCell ref="N1:U1"/>
  </mergeCells>
  <dataValidations count="2">
    <dataValidation type="whole" allowBlank="1" showInputMessage="1" showErrorMessage="1" sqref="A1:L1 B5:B1048576">
      <formula1>0</formula1>
      <formula2>1</formula2>
    </dataValidation>
    <dataValidation type="list" allowBlank="1" showInputMessage="1" showErrorMessage="1" sqref="B3:B4">
      <formula1>$W$3:$W$4</formula1>
    </dataValidation>
  </dataValidations>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0D6B4860-537B-414A-9318-2D4BDE28A8E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167</vt:i4>
      </vt:variant>
    </vt:vector>
  </HeadingPairs>
  <TitlesOfParts>
    <vt:vector size="181" baseType="lpstr">
      <vt:lpstr>Simulator mappings</vt:lpstr>
      <vt:lpstr>Other mappings</vt:lpstr>
      <vt:lpstr>Vendor signal list</vt:lpstr>
      <vt:lpstr>WAGO racks</vt:lpstr>
      <vt:lpstr>WAGO modules</vt:lpstr>
      <vt:lpstr>Driver config</vt:lpstr>
      <vt:lpstr>Driver template</vt:lpstr>
      <vt:lpstr>Exported data</vt:lpstr>
      <vt:lpstr>DriverColumnSetup</vt:lpstr>
      <vt:lpstr>ProgramStorage</vt:lpstr>
      <vt:lpstr>KMOS</vt:lpstr>
      <vt:lpstr>PDM location setup</vt:lpstr>
      <vt:lpstr>PDM pipe setup</vt:lpstr>
      <vt:lpstr>PDM fingerboard setup</vt:lpstr>
      <vt:lpstr>ProgramStorage!_ch0_input</vt:lpstr>
      <vt:lpstr>ProgramStorage!_ch0_unknown</vt:lpstr>
      <vt:lpstr>ProgramStorage!_ch1_input</vt:lpstr>
      <vt:lpstr>ProgramStorage!_ch1_unknown</vt:lpstr>
      <vt:lpstr>ProgramStorage!_ch2_input</vt:lpstr>
      <vt:lpstr>ProgramStorage!_ch2_unknown</vt:lpstr>
      <vt:lpstr>ProgramStorage!_ch3_input</vt:lpstr>
      <vt:lpstr>ProgramStorage!_ch3_unknown</vt:lpstr>
      <vt:lpstr>ProgramStorage!_ch4_input</vt:lpstr>
      <vt:lpstr>ProgramStorage!_ch4_unknown</vt:lpstr>
      <vt:lpstr>ProgramStorage!_ch5_input</vt:lpstr>
      <vt:lpstr>ProgramStorage!_ch5_unknown</vt:lpstr>
      <vt:lpstr>ProgramStorage!_ch6_input</vt:lpstr>
      <vt:lpstr>ProgramStorage!_ch6_unknown</vt:lpstr>
      <vt:lpstr>ProgramStorage!_chAll_input</vt:lpstr>
      <vt:lpstr>ProgramStorage!_chAll_unknown</vt:lpstr>
      <vt:lpstr>'Other mappings'!_Module0</vt:lpstr>
      <vt:lpstr>'Other mappings'!_Module1</vt:lpstr>
      <vt:lpstr>'Other mappings'!_Module2</vt:lpstr>
      <vt:lpstr>'Other mappings'!_ModuleSettings</vt:lpstr>
      <vt:lpstr>'WAGO racks'!Actual_Modbus_address</vt:lpstr>
      <vt:lpstr>ProgramStorage!actualSavedStatus</vt:lpstr>
      <vt:lpstr>'WAGO modules'!AI_2_750_467</vt:lpstr>
      <vt:lpstr>'WAGO modules'!AI_4_750_455</vt:lpstr>
      <vt:lpstr>'WAGO modules'!AI_4_750_457</vt:lpstr>
      <vt:lpstr>'WAGO modules'!AO_4_750_553</vt:lpstr>
      <vt:lpstr>'WAGO modules'!AO_4_750_555</vt:lpstr>
      <vt:lpstr>'WAGO modules'!AO_4_750_557</vt:lpstr>
      <vt:lpstr>'WAGO modules'!AO_4_750_559</vt:lpstr>
      <vt:lpstr>'WAGO racks'!Area0_address</vt:lpstr>
      <vt:lpstr>'WAGO racks'!Area1_address</vt:lpstr>
      <vt:lpstr>'WAGO racks'!Area3_address</vt:lpstr>
      <vt:lpstr>'WAGO racks'!Area4_address</vt:lpstr>
      <vt:lpstr>'Driver template'!ASCII</vt:lpstr>
      <vt:lpstr>DriverColumnSetup!ASCII</vt:lpstr>
      <vt:lpstr>'Driver template'!CANbus</vt:lpstr>
      <vt:lpstr>DriverColumnSetup!CANbus</vt:lpstr>
      <vt:lpstr>ProgramStorage!cbEnDupMon</vt:lpstr>
      <vt:lpstr>ProgramStorage!cbEnMapFunc</vt:lpstr>
      <vt:lpstr>'WAGO racks'!Channel_tag</vt:lpstr>
      <vt:lpstr>ProgramStorage!DataStorage</vt:lpstr>
      <vt:lpstr>'WAGO modules'!DI_16_750_1400</vt:lpstr>
      <vt:lpstr>'WAGO modules'!DI_4_750_432</vt:lpstr>
      <vt:lpstr>'WAGO modules'!DI_8_750_430</vt:lpstr>
      <vt:lpstr>'Vendor signal list'!Direction</vt:lpstr>
      <vt:lpstr>'WAGO modules'!DO_16_750_150</vt:lpstr>
      <vt:lpstr>'WAGO modules'!DO_2_750_513</vt:lpstr>
      <vt:lpstr>'WAGO modules'!DO_2_750_517</vt:lpstr>
      <vt:lpstr>'WAGO modules'!DO_8_750_530</vt:lpstr>
      <vt:lpstr>'Vendor signal list'!DriverName</vt:lpstr>
      <vt:lpstr>ProgramStorage!driverNameSavedRange</vt:lpstr>
      <vt:lpstr>'WAGO modules'!Ethernet_coupler_750_341</vt:lpstr>
      <vt:lpstr>ProgramStorage!ExportVendorDesc</vt:lpstr>
      <vt:lpstr>'PDM fingerboard setup'!FingerboardCenterX</vt:lpstr>
      <vt:lpstr>'PDM fingerboard setup'!FingerboardCenterY</vt:lpstr>
      <vt:lpstr>'PDM fingerboard setup'!FingerboardCenterZ</vt:lpstr>
      <vt:lpstr>'PDM fingerboard setup'!FingerboardExtensionX</vt:lpstr>
      <vt:lpstr>'PDM fingerboard setup'!FingerboardExtensionY</vt:lpstr>
      <vt:lpstr>'PDM fingerboard setup'!FingerboardHeight</vt:lpstr>
      <vt:lpstr>'PDM fingerboard setup'!FingerboardIndex</vt:lpstr>
      <vt:lpstr>'PDM fingerboard setup'!FingerboardMaxLocationsInRow</vt:lpstr>
      <vt:lpstr>'PDM fingerboard setup'!FingerboardNumberOfRows</vt:lpstr>
      <vt:lpstr>'PDM fingerboard setup'!FingerboardRadius</vt:lpstr>
      <vt:lpstr>'PDM fingerboard setup'!FingerboardRotation</vt:lpstr>
      <vt:lpstr>'PDM fingerboard setup'!FingerboardRowIndex</vt:lpstr>
      <vt:lpstr>'PDM fingerboard setup'!FingerboardRowLocationsWithStands</vt:lpstr>
      <vt:lpstr>'PDM fingerboard setup'!FingerboardRowNumberOfLocations</vt:lpstr>
      <vt:lpstr>'PDM fingerboard setup'!FingerboardRowNumberOfPipesInStand</vt:lpstr>
      <vt:lpstr>'PDM fingerboard setup'!FingerboardRowOffsetX</vt:lpstr>
      <vt:lpstr>'PDM fingerboard setup'!FingerboardRowOffsetY</vt:lpstr>
      <vt:lpstr>'PDM fingerboard setup'!FingerboardRowPipeIndex</vt:lpstr>
      <vt:lpstr>'PDM fingerboard setup'!FingerboardRows</vt:lpstr>
      <vt:lpstr>'PDM fingerboard setup'!FingerboardRowSpacing</vt:lpstr>
      <vt:lpstr>'PDM fingerboard setup'!Fingerboards</vt:lpstr>
      <vt:lpstr>'PDM fingerboard setup'!FingerboardType</vt:lpstr>
      <vt:lpstr>ProgramStorage!FirstRun</vt:lpstr>
      <vt:lpstr>'WAGO racks'!HIL_Tag</vt:lpstr>
      <vt:lpstr>ProgramStorage!idSavedRange</vt:lpstr>
      <vt:lpstr>DriverColumnSetup!IncludeColumn</vt:lpstr>
      <vt:lpstr>'PDM pipe setup'!InitialLocation1</vt:lpstr>
      <vt:lpstr>'PDM pipe setup'!InitialLocation2</vt:lpstr>
      <vt:lpstr>'PDM pipe setup'!InitialLocation3</vt:lpstr>
      <vt:lpstr>'PDM pipe setup'!InitialNumberOfPipesInStand</vt:lpstr>
      <vt:lpstr>'PDM pipe setup'!InitialPipeType</vt:lpstr>
      <vt:lpstr>'PDM pipe setup'!InitialPosition1</vt:lpstr>
      <vt:lpstr>'PDM pipe setup'!InitialPosition2</vt:lpstr>
      <vt:lpstr>'PDM pipe setup'!InitialPosition3</vt:lpstr>
      <vt:lpstr>'PDM pipe setup'!InitialPositions</vt:lpstr>
      <vt:lpstr>'Driver template'!InternalCom</vt:lpstr>
      <vt:lpstr>DriverColumnSetup!InternalCom</vt:lpstr>
      <vt:lpstr>'Driver template'!InternalComAuto</vt:lpstr>
      <vt:lpstr>'Driver template'!KMOS</vt:lpstr>
      <vt:lpstr>DriverColumnSetup!KMOS</vt:lpstr>
      <vt:lpstr>'PDM location setup'!LocationDriverInstance</vt:lpstr>
      <vt:lpstr>'PDM location setup'!LocationExternalPosition</vt:lpstr>
      <vt:lpstr>'PDM location setup'!LocationExternalVector</vt:lpstr>
      <vt:lpstr>'PDM location setup'!LocationIndex</vt:lpstr>
      <vt:lpstr>'PDM location setup'!LocationModule</vt:lpstr>
      <vt:lpstr>'PDM location setup'!LocationName</vt:lpstr>
      <vt:lpstr>'PDM location setup'!LocationPositionX</vt:lpstr>
      <vt:lpstr>'PDM location setup'!LocationPositionY</vt:lpstr>
      <vt:lpstr>'PDM location setup'!LocationPositionZ</vt:lpstr>
      <vt:lpstr>'PDM location setup'!Locations</vt:lpstr>
      <vt:lpstr>'PDM location setup'!LocationShowIn3d</vt:lpstr>
      <vt:lpstr>'PDM location setup'!LocationType</vt:lpstr>
      <vt:lpstr>'PDM location setup'!LocationVectorX</vt:lpstr>
      <vt:lpstr>'PDM location setup'!LocationVectorY</vt:lpstr>
      <vt:lpstr>'PDM location setup'!LocationVectorZ</vt:lpstr>
      <vt:lpstr>'Driver template'!mbMasterInstance</vt:lpstr>
      <vt:lpstr>'Driver template'!mbMasterNode</vt:lpstr>
      <vt:lpstr>'Driver template'!MCTCPClient</vt:lpstr>
      <vt:lpstr>DriverColumnSetup!MCTCPClient</vt:lpstr>
      <vt:lpstr>'Driver template'!ModBus</vt:lpstr>
      <vt:lpstr>DriverColumnSetup!ModBUS</vt:lpstr>
      <vt:lpstr>'Vendor signal list'!ModBus</vt:lpstr>
      <vt:lpstr>'WAGO racks'!Modbus_area</vt:lpstr>
      <vt:lpstr>'WAGO racks'!Modbus_data_type</vt:lpstr>
      <vt:lpstr>ProgramStorage!mustCheckAll</vt:lpstr>
      <vt:lpstr>'Driver template'!NIDAQ</vt:lpstr>
      <vt:lpstr>DriverColumnSetup!NIDAQ</vt:lpstr>
      <vt:lpstr>'Driver template'!OPC</vt:lpstr>
      <vt:lpstr>DriverColumnSetup!OPC</vt:lpstr>
      <vt:lpstr>'Driver template'!PDM</vt:lpstr>
      <vt:lpstr>DriverColumnSetup!PDM</vt:lpstr>
      <vt:lpstr>'PDM pipe setup'!PipeBoxDiameter</vt:lpstr>
      <vt:lpstr>'PDM pipe setup'!PipeBoxHeight</vt:lpstr>
      <vt:lpstr>'PDM pipe setup'!PipeDiameter</vt:lpstr>
      <vt:lpstr>'PDM pipe setup'!PipeDiameterUnit</vt:lpstr>
      <vt:lpstr>'PDM pipe setup'!PipeLength</vt:lpstr>
      <vt:lpstr>'PDM pipe setup'!PipeLengthUnit</vt:lpstr>
      <vt:lpstr>'PDM pipe setup'!PipeMaxNumberOfRotations</vt:lpstr>
      <vt:lpstr>'PDM pipe setup'!PipeSpinningTorque</vt:lpstr>
      <vt:lpstr>'PDM pipe setup'!PipeType</vt:lpstr>
      <vt:lpstr>'PDM pipe setup'!PipeTypes</vt:lpstr>
      <vt:lpstr>'PDM pipe setup'!PipeWeight</vt:lpstr>
      <vt:lpstr>'PDM pipe setup'!PipeWeightUnit</vt:lpstr>
      <vt:lpstr>'WAGO modules'!Print_Area</vt:lpstr>
      <vt:lpstr>'WAGO racks'!Rack_ID</vt:lpstr>
      <vt:lpstr>ProgramStorage!ShowSimTagDialog</vt:lpstr>
      <vt:lpstr>'Driver template'!SimbaPro</vt:lpstr>
      <vt:lpstr>DriverColumnSetup!SimbaPro</vt:lpstr>
      <vt:lpstr>ProgramStorage!SimulatorTagsSavedRange</vt:lpstr>
      <vt:lpstr>ProgramStorage!templateVersion</vt:lpstr>
      <vt:lpstr>'Driver template'!TestDriver</vt:lpstr>
      <vt:lpstr>DriverColumnSetup!TestDriver</vt:lpstr>
      <vt:lpstr>'WAGO racks'!Vendor_signal</vt:lpstr>
      <vt:lpstr>'Vendor signal list'!VendorDescription</vt:lpstr>
      <vt:lpstr>DriverColumnSetup!VendorGroup</vt:lpstr>
      <vt:lpstr>'Vendor signal list'!VendorGroup</vt:lpstr>
      <vt:lpstr>ProgramStorage!VendorGroupNames</vt:lpstr>
      <vt:lpstr>'Vendor signal list'!VendorTag</vt:lpstr>
      <vt:lpstr>ProgramStorage!VendorTagsSavedRange</vt:lpstr>
      <vt:lpstr>'Driver template'!WAGO</vt:lpstr>
      <vt:lpstr>DriverColumnSetup!WAGO</vt:lpstr>
      <vt:lpstr>'WAGO racks'!WAGO_master</vt:lpstr>
      <vt:lpstr>'WAGO racks'!WAGO_Module</vt:lpstr>
      <vt:lpstr>'WAGO racks'!WAGO_Module_Channel</vt:lpstr>
      <vt:lpstr>'WAGO racks'!WAGO_node</vt:lpstr>
      <vt:lpstr>'WAGO racks'!WAGO_Signal_type</vt:lpstr>
      <vt:lpstr>'WAGO racks'!WAGO_type</vt:lpstr>
      <vt:lpstr>'WAGO racks'!WagoModbusValueMax</vt:lpstr>
      <vt:lpstr>'WAGO racks'!WagoModbusValueMin</vt:lpstr>
      <vt:lpstr>'WAGO racks'!WagoPhysicalValueMax</vt:lpstr>
      <vt:lpstr>'WAGO racks'!WagoPhysicalValueMin</vt:lpstr>
      <vt:lpstr>'Driver template'!WaveGen</vt:lpstr>
      <vt:lpstr>DriverColumnSetup!WaveGen</vt:lpstr>
      <vt:lpstr>ProgramStorage!workbookVersion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Signal list</dc:title>
  <dc:creator>CT2@marinecyb.com</dc:creator>
  <cp:lastModifiedBy>Nguyen, Thuy Huy</cp:lastModifiedBy>
  <cp:lastPrinted>2013-02-11T10:45:10Z</cp:lastPrinted>
  <dcterms:created xsi:type="dcterms:W3CDTF">1999-02-12T08:31:04Z</dcterms:created>
  <dcterms:modified xsi:type="dcterms:W3CDTF">2015-03-06T11:11:05Z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file://mc.local/Data/Public/Programs/IO-Arch Configuration SpreadSheet Setup/MCSignalWorkBookV1.vsto|a281892e-77b1-4631-af37-b93881e6f617</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